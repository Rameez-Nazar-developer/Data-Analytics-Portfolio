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mee\Downloads\"/>
    </mc:Choice>
  </mc:AlternateContent>
  <xr:revisionPtr revIDLastSave="0" documentId="13_ncr:1_{A0FC47FC-3679-47B8-B98D-98BCE6C1137D}" xr6:coauthVersionLast="47" xr6:coauthVersionMax="47" xr10:uidLastSave="{00000000-0000-0000-0000-000000000000}"/>
  <bookViews>
    <workbookView xWindow="-108" yWindow="-108" windowWidth="23256" windowHeight="13176" firstSheet="8" activeTab="12" xr2:uid="{00000000-000D-0000-FFFF-FFFF00000000}"/>
  </bookViews>
  <sheets>
    <sheet name="KPI" sheetId="7" r:id="rId1"/>
    <sheet name="Rating" sheetId="8" r:id="rId2"/>
    <sheet name="Gender" sheetId="9" r:id="rId3"/>
    <sheet name="Education By Attrition" sheetId="10" r:id="rId4"/>
    <sheet name="Attrition by Job" sheetId="11" r:id="rId5"/>
    <sheet name="Department Wise Attrition" sheetId="12" r:id="rId6"/>
    <sheet name="Attrition by Age Group" sheetId="13" r:id="rId7"/>
    <sheet name="Attrition by Marital Status" sheetId="14" r:id="rId8"/>
    <sheet name="Data" sheetId="1" r:id="rId9"/>
    <sheet name="Images" sheetId="2" r:id="rId10"/>
    <sheet name="Background 1" sheetId="3" r:id="rId11"/>
    <sheet name="Background 2" sheetId="4" r:id="rId12"/>
    <sheet name="Dashboard" sheetId="5" r:id="rId13"/>
    <sheet name="Background 4" sheetId="6" r:id="rId14"/>
  </sheets>
  <definedNames>
    <definedName name="_xlchart.v1.0" hidden="1">'Attrition by Job'!$D$4:$D$12</definedName>
    <definedName name="_xlchart.v1.1" hidden="1">'Attrition by Job'!$E$4:$E$12</definedName>
    <definedName name="_xlchart.v1.11" hidden="1">'Attrition by Job'!$D$4:$D$12</definedName>
    <definedName name="_xlchart.v1.12" hidden="1">'Attrition by Job'!$E$4:$E$12</definedName>
    <definedName name="_xlchart.v2.10" hidden="1">'Attrition by Marital Status'!$E$4:$E$6</definedName>
    <definedName name="_xlchart.v2.2" hidden="1">'Attrition by Marital Status'!$D$4:$D$6</definedName>
    <definedName name="_xlchart.v2.3" hidden="1">'Attrition by Marital Status'!$E$3</definedName>
    <definedName name="_xlchart.v2.4" hidden="1">'Attrition by Marital Status'!$E$4:$E$6</definedName>
    <definedName name="_xlchart.v2.5" hidden="1">'Attrition by Marital Status'!$D$4:$D$6</definedName>
    <definedName name="_xlchart.v2.6" hidden="1">'Attrition by Marital Status'!$E$3</definedName>
    <definedName name="_xlchart.v2.7" hidden="1">'Attrition by Marital Status'!$E$4:$E$6</definedName>
    <definedName name="_xlchart.v2.8" hidden="1">'Attrition by Marital Status'!$D$4:$D$6</definedName>
    <definedName name="_xlchart.v2.9" hidden="1">'Attrition by Marital Status'!$E$3</definedName>
    <definedName name="Slicer_Department">#N/A</definedName>
    <definedName name="Slicer_Education_Field2">#N/A</definedName>
    <definedName name="Slicer_Gender2">#N/A</definedName>
  </definedNames>
  <calcPr calcId="191029"/>
  <pivotCaches>
    <pivotCache cacheId="11"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4" i="14" l="1"/>
  <c r="D5" i="14"/>
  <c r="D6" i="14"/>
  <c r="D5" i="11"/>
  <c r="D6" i="11"/>
  <c r="D7" i="11"/>
  <c r="D8" i="11"/>
  <c r="D9" i="11"/>
  <c r="D10" i="11"/>
  <c r="D11" i="11"/>
  <c r="D12" i="11"/>
  <c r="D4" i="11"/>
  <c r="B6" i="8"/>
  <c r="A7" i="7"/>
  <c r="C7" i="7"/>
  <c r="B7" i="7"/>
  <c r="E5" i="14"/>
  <c r="E4" i="14"/>
  <c r="E6" i="14"/>
  <c r="E5" i="11"/>
  <c r="E7" i="11"/>
  <c r="E8" i="11"/>
  <c r="E9" i="11"/>
  <c r="E10" i="11"/>
  <c r="E11" i="11"/>
  <c r="E12" i="11"/>
  <c r="E6" i="11"/>
  <c r="E4" i="11"/>
  <c r="B9" i="9"/>
  <c r="B8" i="9"/>
  <c r="C8" i="9" l="1"/>
  <c r="C9" i="9"/>
  <c r="C6" i="8"/>
  <c r="B7" i="8"/>
  <c r="C7" i="8" s="1"/>
  <c r="D7" i="7"/>
  <c r="E7" i="7"/>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<sst xmlns="http://schemas.openxmlformats.org/spreadsheetml/2006/main" count="19217" uniqueCount="1571">
  <si>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</si>
  <si>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</si>
  <si>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</si>
  <si>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</si>
  <si>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</si>
  <si>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</si>
  <si>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</si>
  <si>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</si>
  <si>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</si>
  <si>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</si>
  <si>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</si>
  <si>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</si>
  <si>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</si>
  <si>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</si>
  <si>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</si>
  <si>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</si>
  <si>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</si>
  <si>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</si>
  <si>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</si>
  <si>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</si>
  <si>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</si>
  <si>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</si>
  <si>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</si>
  <si>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</si>
  <si>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</si>
  <si>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</si>
  <si>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</si>
  <si>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</si>
  <si>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</si>
  <si>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</si>
  <si>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</si>
  <si>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</si>
  <si>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</si>
  <si>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</si>
  <si>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</si>
  <si>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</si>
  <si>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</si>
  <si>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</si>
  <si>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</si>
  <si>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</si>
  <si>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</si>
  <si>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</si>
  <si>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</si>
  <si>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</si>
  <si>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</si>
  <si>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</si>
  <si>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</si>
  <si>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</si>
  <si>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</si>
  <si>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</si>
  <si>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</si>
  <si>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</si>
  <si>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</si>
  <si>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</si>
  <si>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</si>
  <si>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</si>
  <si>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</si>
  <si>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</si>
  <si>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</si>
  <si>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</si>
  <si>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</si>
  <si>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</si>
  <si>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</si>
  <si>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</si>
  <si>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</si>
  <si>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</si>
  <si>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</si>
  <si>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</si>
  <si>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</si>
  <si>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</si>
  <si>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</si>
  <si>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</si>
  <si>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</si>
  <si>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</si>
  <si>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</si>
  <si>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</si>
  <si>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</si>
  <si>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</si>
  <si>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</si>
  <si>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</si>
  <si>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</si>
  <si>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</si>
  <si>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</si>
  <si>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</si>
  <si>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</si>
  <si>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</si>
  <si>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</si>
  <si>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</si>
  <si>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</si>
  <si>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</si>
  <si>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</si>
  <si>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</si>
  <si>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</si>
  <si>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</si>
  <si>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</si>
  <si>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</si>
  <si>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</si>
  <si>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</si>
  <si>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</si>
  <si>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</si>
  <si>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</si>
  <si>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</si>
  <si>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</si>
  <si>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</si>
  <si>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</si>
  <si>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</si>
  <si>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</si>
  <si>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</si>
  <si>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</si>
  <si>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</si>
  <si>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</si>
  <si>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</si>
  <si>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</si>
  <si>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</si>
  <si>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</si>
  <si>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</si>
  <si>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</si>
  <si>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</si>
  <si>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</si>
  <si>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</si>
  <si>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</si>
  <si>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</si>
  <si>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</si>
  <si>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</si>
  <si>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</si>
  <si>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</si>
  <si>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</si>
  <si>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</si>
  <si>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</si>
  <si>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</si>
  <si>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</si>
  <si>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</si>
  <si>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</si>
  <si>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</si>
  <si>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</si>
  <si>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</si>
  <si>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</si>
  <si>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</si>
  <si>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</si>
  <si>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</si>
  <si>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</si>
  <si>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</si>
  <si>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</si>
  <si>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</si>
  <si>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</si>
  <si>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</si>
  <si>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</si>
  <si>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</si>
  <si>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</si>
  <si>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</si>
  <si>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</si>
  <si>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</si>
  <si>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</si>
  <si>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</si>
  <si>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</si>
  <si>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</si>
  <si>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</si>
  <si>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</si>
  <si>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</si>
  <si>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</si>
  <si>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</si>
  <si>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</si>
  <si>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</si>
  <si>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</si>
  <si>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</si>
  <si>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</si>
  <si>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</si>
  <si>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</si>
  <si>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</si>
  <si>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</si>
  <si>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</si>
  <si>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</si>
  <si>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</si>
  <si>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</si>
  <si>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</si>
  <si>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</si>
  <si>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</si>
  <si>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</si>
  <si>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</si>
  <si>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</si>
  <si>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</si>
  <si>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</si>
  <si>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</si>
  <si>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</si>
  <si>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</si>
  <si>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</si>
  <si>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</si>
  <si>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</si>
  <si>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</si>
  <si>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</si>
  <si>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</si>
  <si>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</si>
  <si>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</si>
  <si>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</si>
  <si>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</si>
  <si>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</si>
  <si>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</si>
  <si>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</si>
  <si>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</si>
  <si>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</si>
  <si>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</si>
  <si>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</si>
  <si>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</si>
  <si>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</si>
  <si>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</si>
  <si>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</si>
  <si>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</si>
  <si>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</si>
  <si>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</si>
  <si>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</si>
  <si>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</si>
  <si>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</si>
  <si>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</si>
  <si>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</si>
  <si>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</si>
  <si>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</si>
  <si>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</si>
  <si>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</si>
  <si>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</si>
  <si>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</si>
  <si>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</si>
  <si>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</si>
  <si>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</si>
  <si>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</si>
  <si>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</si>
  <si>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</si>
  <si>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</si>
  <si>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</si>
  <si>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</si>
  <si>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</si>
  <si>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</si>
  <si>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</si>
  <si>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</si>
  <si>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</si>
  <si>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</si>
  <si>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</si>
  <si>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</si>
  <si>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</si>
  <si>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</si>
  <si>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</si>
  <si>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</si>
  <si>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</si>
  <si>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</si>
  <si>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</si>
  <si>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</si>
  <si>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</si>
  <si>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</si>
  <si>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</si>
  <si>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</si>
  <si>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</si>
  <si>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</si>
  <si>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</si>
  <si>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</si>
  <si>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</si>
  <si>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</si>
  <si>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</si>
  <si>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</si>
  <si>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</si>
  <si>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</si>
  <si>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</si>
  <si>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</si>
  <si>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</si>
  <si>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</si>
  <si>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</si>
  <si>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</si>
  <si>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</si>
  <si>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</si>
  <si>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</si>
  <si>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</si>
  <si>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</si>
  <si>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</si>
  <si>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</si>
  <si>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</si>
  <si>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</si>
  <si>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</si>
  <si>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</si>
  <si>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</si>
  <si>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</si>
  <si>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</si>
  <si>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</si>
  <si>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</si>
  <si>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</si>
  <si>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</si>
  <si>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</si>
  <si>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</si>
  <si>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</si>
  <si>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</si>
  <si>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</si>
  <si>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</si>
  <si>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</si>
  <si>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</si>
  <si>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</si>
  <si>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</si>
  <si>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</si>
  <si>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</si>
  <si>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</si>
  <si>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</si>
  <si>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</si>
  <si>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</si>
  <si>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</si>
  <si>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</si>
  <si>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</si>
  <si>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</si>
  <si>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</si>
  <si>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</si>
  <si>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</si>
  <si>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</si>
  <si>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</si>
  <si>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</si>
  <si>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</si>
  <si>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</si>
  <si>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</si>
  <si>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</si>
  <si>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</si>
  <si>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</si>
  <si>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</si>
  <si>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</si>
  <si>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</si>
  <si>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</si>
  <si>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</si>
  <si>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</si>
  <si>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</si>
  <si>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</si>
  <si>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</si>
  <si>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</si>
  <si>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</si>
  <si>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</si>
  <si>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</si>
  <si>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</si>
  <si>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</si>
  <si>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</si>
  <si>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</si>
  <si>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</si>
  <si>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</si>
  <si>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</si>
  <si>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</si>
  <si>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</si>
  <si>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</si>
  <si>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</si>
  <si>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</si>
  <si>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</si>
  <si>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</si>
  <si>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</si>
  <si>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</si>
  <si>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</si>
  <si>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</si>
  <si>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</si>
  <si>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</si>
  <si>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</si>
  <si>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</si>
  <si>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</si>
  <si>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</si>
  <si>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</si>
  <si>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</si>
  <si>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</si>
  <si>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</si>
  <si>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</si>
  <si>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</si>
  <si>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</si>
  <si>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</si>
  <si>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</si>
  <si>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</si>
  <si>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</si>
  <si>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</si>
  <si>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</si>
  <si>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</si>
  <si>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</si>
  <si>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</si>
  <si>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</si>
  <si>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</si>
  <si>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</si>
  <si>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</si>
  <si>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</si>
  <si>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</si>
  <si>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</si>
  <si>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</si>
  <si>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</si>
  <si>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</si>
  <si>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</si>
  <si>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</si>
  <si>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</si>
  <si>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</si>
  <si>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</si>
  <si>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</si>
  <si>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</si>
  <si>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</si>
  <si>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</si>
  <si>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</si>
  <si>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</si>
  <si>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</si>
  <si>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</si>
  <si>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</si>
  <si>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</si>
  <si>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</si>
  <si>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</si>
  <si>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</si>
  <si>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</si>
  <si>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</si>
  <si>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</si>
  <si>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</si>
  <si>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</si>
  <si>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</si>
  <si>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</si>
  <si>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</si>
  <si>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</si>
  <si>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</si>
  <si>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</si>
  <si>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</si>
  <si>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</si>
  <si>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</si>
  <si>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</si>
  <si>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</si>
  <si>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</si>
  <si>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</si>
  <si>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</si>
  <si>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</si>
  <si>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</si>
  <si>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</si>
  <si>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</si>
  <si>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</si>
  <si>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</si>
  <si>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</si>
  <si>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</si>
  <si>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</si>
  <si>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</si>
  <si>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</si>
  <si>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</si>
  <si>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</si>
  <si>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</si>
  <si>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</si>
  <si>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</si>
  <si>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</si>
  <si>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</si>
  <si>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</si>
  <si>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</si>
  <si>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</si>
  <si>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</si>
  <si>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</si>
  <si>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</si>
  <si>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</si>
  <si>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</si>
  <si>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</si>
  <si>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</si>
  <si>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</si>
  <si>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</si>
  <si>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</si>
  <si>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</si>
  <si>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</si>
  <si>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</si>
  <si>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</si>
  <si>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</si>
  <si>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</si>
  <si>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</si>
  <si>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</si>
  <si>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</si>
  <si>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</si>
  <si>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</si>
  <si>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</si>
  <si>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</si>
  <si>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</si>
  <si>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</si>
  <si>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</si>
  <si>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</si>
  <si>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</si>
  <si>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</si>
  <si>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</si>
  <si>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</si>
  <si>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</si>
  <si>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</si>
  <si>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</si>
  <si>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</si>
  <si>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</si>
  <si>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</si>
  <si>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</si>
  <si>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</si>
  <si>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</si>
  <si>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</si>
  <si>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</si>
  <si>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</si>
  <si>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</si>
  <si>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</si>
  <si>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</si>
  <si>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</si>
  <si>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</si>
  <si>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</si>
  <si>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</si>
  <si>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</si>
  <si>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</si>
  <si>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</si>
  <si>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</si>
  <si>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</si>
  <si>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</si>
  <si>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</si>
  <si>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</si>
  <si>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</si>
  <si>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</si>
  <si>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</si>
  <si>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</si>
  <si>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</si>
  <si>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</si>
  <si>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</si>
  <si>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</si>
  <si>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</si>
  <si>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</si>
  <si>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</si>
  <si>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</si>
  <si>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</si>
  <si>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</si>
  <si>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</si>
  <si>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</si>
  <si>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</si>
  <si>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</si>
  <si>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</si>
  <si>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</si>
  <si>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</si>
  <si>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</si>
  <si>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</si>
  <si>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</si>
  <si>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</si>
  <si>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</si>
  <si>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</si>
  <si>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</si>
  <si>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</si>
  <si>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</si>
  <si>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</si>
  <si>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</si>
  <si>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</si>
  <si>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</si>
  <si>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</si>
  <si>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</si>
  <si>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</si>
  <si>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</si>
  <si>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</si>
  <si>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</si>
  <si>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</si>
  <si>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</si>
  <si>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</si>
  <si>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</si>
  <si>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</si>
  <si>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</si>
  <si>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</si>
  <si>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</si>
  <si>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</si>
  <si>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</si>
  <si>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</si>
  <si>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</si>
  <si>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</si>
  <si>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</si>
  <si>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</si>
  <si>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</si>
  <si>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</si>
  <si>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</si>
  <si>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</si>
  <si>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</si>
  <si>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</si>
  <si>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</si>
  <si>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</si>
  <si>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</si>
  <si>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</si>
  <si>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</si>
  <si>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</si>
  <si>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</si>
  <si>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</si>
  <si>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</si>
  <si>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</si>
  <si>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</si>
  <si>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</si>
  <si>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</si>
  <si>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</si>
  <si>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</si>
  <si>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</si>
  <si>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</si>
  <si>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</si>
  <si>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</si>
  <si>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</si>
  <si>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</si>
  <si>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</si>
  <si>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</si>
  <si>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</si>
  <si>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</si>
  <si>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</si>
  <si>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</si>
  <si>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</si>
  <si>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</si>
  <si>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</si>
  <si>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</si>
  <si>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</si>
  <si>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</si>
  <si>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</si>
  <si>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</si>
  <si>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</si>
  <si>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</si>
  <si>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</si>
  <si>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</si>
  <si>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</si>
  <si>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</si>
  <si>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</si>
  <si>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</si>
  <si>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</si>
  <si>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</si>
  <si>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</si>
  <si>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</si>
  <si>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</si>
  <si>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</si>
  <si>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</si>
  <si>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</si>
  <si>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</si>
  <si>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</si>
  <si>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</si>
  <si>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</si>
  <si>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</si>
  <si>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</si>
  <si>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</si>
  <si>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</si>
  <si>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</si>
  <si>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</si>
  <si>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</si>
  <si>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</si>
  <si>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</si>
  <si>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</si>
  <si>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</si>
  <si>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</si>
  <si>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</si>
  <si>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</si>
  <si>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</si>
  <si>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</si>
  <si>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</si>
  <si>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</si>
  <si>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</si>
  <si>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</si>
  <si>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</si>
  <si>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</si>
  <si>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</si>
  <si>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</si>
  <si>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</si>
  <si>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</si>
  <si>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</si>
  <si>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</si>
  <si>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</si>
  <si>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</si>
  <si>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</si>
  <si>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</si>
  <si>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</si>
  <si>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</si>
  <si>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</si>
  <si>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</si>
  <si>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</si>
  <si>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</si>
  <si>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</si>
  <si>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</si>
  <si>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</si>
  <si>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</si>
  <si>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</si>
  <si>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</si>
  <si>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</si>
  <si>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</si>
  <si>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</si>
  <si>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</si>
  <si>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</si>
  <si>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</si>
  <si>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</si>
  <si>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</si>
  <si>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</si>
  <si>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</si>
  <si>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</si>
  <si>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</si>
  <si>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</si>
  <si>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</si>
  <si>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</si>
  <si>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</si>
  <si>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</si>
  <si>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</si>
  <si>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</si>
  <si>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</si>
  <si>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</si>
  <si>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</si>
  <si>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</si>
  <si>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</si>
  <si>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</si>
  <si>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</si>
  <si>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</si>
  <si>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</si>
  <si>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</si>
  <si>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</si>
  <si>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</si>
  <si>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</si>
  <si>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</si>
  <si>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</si>
  <si>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</si>
  <si>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</si>
  <si>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</si>
  <si>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</si>
  <si>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</si>
  <si>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</si>
  <si>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</si>
  <si>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</si>
  <si>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</si>
  <si>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</si>
  <si>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</si>
  <si>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</si>
  <si>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</si>
  <si>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</si>
  <si>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</si>
  <si>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</si>
  <si>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</si>
  <si>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</si>
  <si>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</si>
  <si>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</si>
  <si>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</si>
  <si>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</si>
  <si>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</si>
  <si>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</si>
  <si>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</si>
  <si>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</si>
  <si>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</si>
  <si>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</si>
  <si>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</si>
  <si>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</si>
  <si>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</si>
  <si>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</si>
  <si>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</si>
  <si>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</si>
  <si>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</si>
  <si>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</si>
  <si>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</si>
  <si>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</si>
  <si>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</si>
  <si>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</si>
  <si>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</si>
  <si>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</si>
  <si>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</si>
  <si>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</si>
  <si>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</si>
  <si>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</si>
  <si>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</si>
  <si>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</si>
  <si>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</si>
  <si>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</si>
  <si>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</si>
  <si>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</si>
  <si>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</si>
  <si>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</si>
  <si>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</si>
  <si>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</si>
  <si>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</si>
  <si>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</si>
  <si>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</si>
  <si>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</si>
  <si>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</si>
  <si>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</si>
  <si>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</si>
  <si>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</si>
  <si>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</si>
  <si>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</si>
  <si>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</si>
  <si>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</si>
  <si>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</si>
  <si>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</si>
  <si>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</si>
  <si>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</si>
  <si>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</si>
  <si>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</si>
  <si>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</si>
  <si>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</si>
  <si>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</si>
  <si>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</si>
  <si>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</si>
  <si>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</si>
  <si>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</si>
  <si>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</si>
  <si>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</si>
  <si>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</si>
  <si>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</si>
  <si>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</si>
  <si>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</si>
  <si>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</si>
  <si>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</si>
  <si>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</si>
  <si>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</si>
  <si>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</si>
  <si>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</si>
  <si>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</si>
  <si>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</si>
  <si>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</si>
  <si>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</si>
  <si>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</si>
  <si>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</si>
  <si>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</si>
  <si>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</si>
  <si>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</si>
  <si>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</si>
  <si>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</si>
  <si>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</si>
  <si>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</si>
  <si>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</si>
  <si>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</si>
  <si>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</si>
  <si>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</si>
  <si>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</si>
  <si>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</si>
  <si>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</si>
  <si>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</si>
  <si>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</si>
  <si>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</si>
  <si>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</si>
  <si>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</si>
  <si>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</si>
  <si>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</si>
  <si>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</si>
  <si>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</si>
  <si>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</si>
  <si>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</si>
  <si>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</si>
  <si>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</si>
  <si>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</si>
  <si>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</si>
  <si>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</si>
  <si>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</si>
  <si>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</si>
  <si>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</si>
  <si>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</si>
  <si>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</si>
  <si>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</si>
  <si>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</si>
  <si>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</si>
  <si>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</si>
  <si>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</si>
  <si>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</si>
  <si>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</si>
  <si>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</si>
  <si>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</si>
  <si>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</si>
  <si>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</si>
  <si>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</si>
  <si>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</si>
  <si>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</si>
  <si>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</si>
  <si>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</si>
  <si>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</si>
  <si>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</si>
  <si>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</si>
  <si>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</si>
  <si>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</si>
  <si>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</si>
  <si>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</si>
  <si>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</si>
  <si>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</si>
  <si>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</si>
  <si>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</si>
  <si>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</si>
  <si>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</si>
  <si>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</si>
  <si>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</si>
  <si>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</si>
  <si>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</si>
  <si>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</si>
  <si>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</si>
  <si>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</si>
  <si>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</si>
  <si>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</si>
  <si>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</si>
  <si>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</si>
  <si>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</si>
  <si>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</si>
  <si>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</si>
  <si>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</si>
  <si>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</si>
  <si>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</si>
  <si>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</si>
  <si>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</si>
  <si>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</si>
  <si>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</si>
  <si>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</si>
  <si>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</si>
  <si>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</si>
  <si>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</si>
  <si>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</si>
  <si>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</si>
  <si>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</si>
  <si>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</si>
  <si>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</si>
  <si>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</si>
  <si>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</si>
  <si>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</si>
  <si>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</si>
  <si>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</si>
  <si>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</si>
  <si>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</si>
  <si>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</si>
  <si>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</si>
  <si>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</si>
  <si>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</si>
  <si>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</si>
  <si>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</si>
  <si>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</si>
  <si>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</si>
  <si>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</si>
  <si>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</si>
  <si>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</si>
  <si>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</si>
  <si>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</si>
  <si>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</si>
  <si>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</si>
  <si>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</si>
  <si>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</si>
  <si>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</si>
  <si>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</si>
  <si>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</si>
  <si>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</si>
  <si>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</si>
  <si>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</si>
  <si>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</si>
  <si>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</si>
  <si>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</si>
  <si>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</si>
  <si>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</si>
  <si>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</si>
  <si>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</si>
  <si>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</si>
  <si>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</si>
  <si>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</si>
  <si>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</si>
  <si>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</si>
  <si>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</si>
  <si>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</si>
  <si>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</si>
  <si>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</si>
  <si>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</si>
  <si>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</si>
  <si>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</si>
  <si>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</si>
  <si>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</si>
  <si>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</si>
  <si>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</si>
  <si>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</si>
  <si>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</si>
  <si>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</si>
  <si>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</si>
  <si>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</si>
  <si>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</si>
  <si>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</si>
  <si>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</si>
  <si>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</si>
  <si>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</si>
  <si>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</si>
  <si>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</si>
  <si>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</si>
  <si>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</si>
  <si>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</si>
  <si>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</si>
  <si>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</si>
  <si>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</si>
  <si>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</si>
  <si>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</si>
  <si>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</si>
  <si>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</si>
  <si>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</si>
  <si>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</si>
  <si>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</si>
  <si>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</si>
  <si>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</si>
  <si>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</si>
  <si>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</si>
  <si>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</si>
  <si>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</si>
  <si>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</si>
  <si>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</si>
  <si>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</si>
  <si>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</si>
  <si>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</si>
  <si>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</si>
  <si>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</si>
  <si>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</si>
  <si>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</si>
  <si>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</si>
  <si>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</si>
  <si>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</si>
  <si>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</si>
  <si>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</si>
  <si>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</si>
  <si>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</si>
  <si>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</si>
  <si>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</si>
  <si>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</si>
  <si>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</si>
  <si>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</si>
  <si>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</si>
  <si>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</si>
  <si>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</si>
  <si>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</si>
  <si>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</si>
  <si>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</si>
  <si>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</si>
  <si>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</si>
  <si>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</si>
  <si>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</si>
  <si>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</si>
  <si>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</si>
  <si>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</si>
  <si>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</si>
  <si>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</si>
  <si>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</si>
  <si>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</si>
  <si>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</si>
  <si>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</si>
  <si>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</si>
  <si>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</si>
  <si>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</si>
  <si>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</si>
  <si>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</si>
  <si>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</si>
  <si>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</si>
  <si>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</si>
  <si>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</si>
  <si>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</si>
  <si>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</si>
  <si>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</si>
  <si>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</si>
  <si>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</si>
  <si>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</si>
  <si>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</si>
  <si>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</si>
  <si>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</si>
  <si>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</si>
  <si>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</si>
  <si>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</si>
  <si>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</si>
  <si>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</si>
  <si>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</si>
  <si>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</si>
  <si>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</si>
  <si>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</si>
  <si>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</si>
  <si>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</si>
  <si>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</si>
  <si>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</si>
  <si>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</si>
  <si>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</si>
  <si>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</si>
  <si>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</si>
  <si>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</si>
  <si>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</si>
  <si>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</si>
  <si>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</si>
  <si>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</si>
  <si>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</si>
  <si>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</si>
  <si>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</si>
  <si>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</si>
  <si>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</si>
  <si>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</si>
  <si>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</si>
  <si>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</si>
  <si>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</si>
  <si>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</si>
  <si>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</si>
  <si>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</si>
  <si>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</si>
  <si>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</si>
  <si>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</si>
  <si>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</si>
  <si>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</si>
  <si>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</si>
  <si>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</si>
  <si>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</si>
  <si>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</si>
  <si>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</si>
  <si>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</si>
  <si>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</si>
  <si>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</si>
  <si>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</si>
  <si>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</si>
  <si>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</si>
  <si>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</si>
  <si>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</si>
  <si>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</si>
  <si>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</si>
  <si>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</si>
  <si>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</si>
  <si>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</si>
  <si>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</si>
  <si>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</si>
  <si>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</si>
  <si>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</si>
  <si>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</si>
  <si>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</si>
  <si>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</si>
  <si>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</si>
  <si>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</si>
  <si>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</si>
  <si>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</si>
  <si>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</si>
  <si>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</si>
  <si>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</si>
  <si>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</si>
  <si>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</si>
  <si>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</si>
  <si>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</si>
  <si>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</si>
  <si>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</si>
  <si>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</si>
  <si>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</si>
  <si>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</si>
  <si>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</si>
  <si>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</si>
  <si>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</si>
  <si>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</si>
  <si>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</si>
  <si>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</si>
  <si>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</si>
  <si>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</si>
  <si>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</si>
  <si>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</si>
  <si>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</si>
  <si>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</si>
  <si>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</si>
  <si>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</si>
  <si>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</si>
  <si>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</si>
  <si>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</si>
  <si>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</si>
  <si>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</si>
  <si>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</si>
  <si>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</si>
  <si>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</si>
  <si>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</si>
  <si>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</si>
  <si>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</si>
  <si>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</si>
  <si>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</si>
  <si>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</si>
  <si>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</si>
  <si>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</si>
  <si>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</si>
  <si>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</si>
  <si>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</si>
  <si>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</si>
  <si>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</si>
  <si>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</si>
  <si>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</si>
  <si>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</si>
  <si>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</si>
  <si>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</si>
  <si>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</si>
  <si>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</si>
  <si>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</si>
  <si>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</si>
  <si>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</si>
  <si>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</si>
  <si>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</si>
  <si>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</si>
  <si>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</si>
  <si>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</si>
  <si>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</si>
  <si>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</si>
  <si>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</si>
  <si>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</si>
  <si>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</si>
  <si>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</si>
  <si>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</si>
  <si>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</si>
  <si>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</si>
  <si>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</si>
  <si>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</si>
  <si>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</si>
  <si>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</si>
  <si>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</si>
  <si>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</si>
  <si>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</si>
  <si>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</si>
  <si>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</si>
  <si>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</si>
  <si>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</si>
  <si>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</si>
  <si>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</si>
  <si>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</si>
  <si>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</si>
  <si>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</si>
  <si>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</si>
  <si>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</si>
  <si>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</si>
  <si>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</si>
  <si>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</si>
  <si>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</si>
  <si>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</si>
  <si>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</si>
  <si>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</si>
  <si>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</si>
  <si>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</si>
  <si>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</si>
  <si>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</si>
  <si>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</si>
  <si>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</si>
  <si>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</si>
  <si>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</si>
  <si>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</si>
  <si>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</si>
  <si>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</si>
  <si>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</si>
  <si>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</si>
  <si>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</si>
  <si>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</si>
  <si>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</si>
  <si>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</si>
  <si>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</si>
  <si>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</si>
  <si>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</si>
  <si>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</si>
  <si>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</si>
  <si>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</si>
  <si>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</si>
  <si>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</si>
  <si>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</si>
  <si>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</si>
  <si>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</si>
  <si>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</si>
  <si>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</si>
  <si>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</si>
  <si>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</si>
  <si>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</si>
  <si>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</si>
  <si>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</si>
  <si>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</si>
  <si>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</si>
  <si>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</si>
  <si>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</si>
  <si>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</si>
  <si>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</si>
  <si>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</si>
  <si>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</si>
  <si>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</si>
  <si>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</si>
  <si>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</si>
  <si>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</si>
  <si>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</si>
  <si>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</si>
  <si>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</si>
  <si>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</si>
  <si>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</si>
  <si>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</si>
  <si>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</si>
  <si>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</si>
  <si>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</si>
  <si>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</si>
  <si>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</si>
  <si>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</si>
  <si>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</si>
  <si>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</si>
  <si>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</si>
  <si>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</si>
  <si>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</si>
  <si>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</si>
  <si>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</si>
  <si>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</si>
  <si>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</si>
  <si>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</si>
  <si>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</si>
  <si>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</si>
  <si>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</si>
  <si>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</si>
  <si>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</si>
  <si>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</si>
  <si>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</si>
  <si>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</si>
  <si>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</si>
  <si>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</si>
  <si>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</si>
  <si>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</si>
  <si>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</si>
  <si>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</si>
  <si>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</si>
  <si>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</si>
  <si>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</si>
  <si>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</si>
  <si>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</si>
  <si>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</si>
  <si>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</si>
  <si>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</si>
  <si>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</si>
  <si>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</si>
  <si>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</si>
  <si>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</si>
  <si>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</si>
  <si>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</si>
  <si>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</si>
  <si>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</si>
  <si>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</si>
  <si>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</si>
  <si>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</si>
  <si>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</si>
  <si>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</si>
  <si>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</si>
  <si>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</si>
  <si>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</si>
  <si>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</si>
  <si>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</si>
  <si>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</si>
  <si>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</si>
  <si>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</si>
  <si>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</si>
  <si>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</si>
  <si>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</si>
  <si>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</si>
  <si>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</si>
  <si>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</si>
  <si>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</si>
  <si>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</si>
  <si>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</si>
  <si>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</si>
  <si>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</si>
  <si>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</si>
  <si>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</si>
  <si>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</si>
  <si>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</si>
  <si>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</si>
  <si>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</si>
  <si>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</si>
  <si>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</si>
  <si>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</si>
  <si>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</si>
  <si>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</si>
  <si>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</si>
  <si>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</si>
  <si>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</si>
  <si>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</si>
  <si>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</si>
  <si>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</si>
  <si>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</si>
  <si>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</si>
  <si>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</si>
  <si>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</si>
  <si>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</si>
  <si>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</si>
  <si>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</si>
  <si>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</si>
  <si>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</si>
  <si>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</si>
  <si>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</si>
  <si>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</si>
  <si>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</si>
  <si>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</si>
  <si>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</si>
  <si>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</si>
  <si>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</si>
  <si>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</si>
  <si>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</si>
  <si>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</si>
  <si>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</si>
  <si>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</si>
  <si>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</si>
  <si>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</si>
  <si>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</si>
  <si>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</si>
  <si>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</si>
  <si>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</si>
  <si>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</si>
  <si>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</si>
  <si>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</si>
  <si>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</si>
  <si>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</si>
  <si>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</si>
  <si>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</si>
  <si>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</si>
  <si>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</si>
  <si>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</si>
  <si>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</si>
  <si>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</si>
  <si>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</si>
  <si>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</si>
  <si>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</si>
  <si>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</si>
  <si>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</si>
  <si>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</si>
  <si>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</si>
  <si>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</si>
  <si>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</si>
  <si>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</si>
  <si>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</si>
  <si>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</si>
  <si>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</si>
  <si>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</si>
  <si>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</si>
  <si>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</si>
  <si>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</si>
  <si>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</si>
  <si>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</si>
  <si>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</si>
  <si>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</si>
  <si>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</si>
  <si>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</si>
  <si>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</si>
  <si>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</si>
  <si>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</si>
  <si>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</si>
  <si>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</si>
  <si>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</si>
  <si>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</si>
  <si>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</si>
  <si>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</si>
  <si>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</si>
  <si>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</si>
  <si>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</si>
  <si>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</si>
  <si>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</si>
  <si>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</si>
  <si>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</si>
  <si>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</si>
  <si>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</si>
  <si>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</si>
  <si>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</si>
  <si>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</si>
  <si>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</si>
  <si>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</si>
  <si>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</si>
  <si>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</si>
  <si>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</si>
  <si>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</si>
  <si>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</si>
  <si>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</si>
  <si>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</si>
  <si>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</si>
  <si>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</si>
  <si>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</si>
  <si>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</si>
  <si>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</si>
  <si>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</si>
  <si>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</si>
  <si>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</si>
  <si>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</si>
  <si>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</si>
  <si>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</si>
  <si>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</si>
  <si>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</si>
  <si>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</si>
  <si>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</si>
  <si>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</si>
  <si>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</si>
  <si>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</si>
  <si>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</si>
  <si>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</si>
  <si>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</si>
  <si>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</si>
  <si>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</si>
  <si>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</si>
  <si>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</si>
  <si>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</si>
  <si>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</si>
  <si>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</si>
  <si>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</si>
  <si>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</si>
  <si>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</si>
  <si>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</si>
  <si>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</si>
  <si>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</si>
  <si>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</si>
  <si>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</si>
  <si>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</si>
  <si>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</si>
  <si>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</si>
  <si>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</si>
  <si>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</si>
  <si>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</si>
  <si>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</si>
  <si>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</si>
  <si>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</si>
  <si>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</si>
  <si>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</si>
  <si>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</si>
  <si>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</si>
  <si>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</si>
  <si>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</si>
  <si>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</si>
  <si>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</si>
  <si>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</si>
  <si>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</si>
  <si>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</si>
  <si>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</si>
  <si>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</si>
  <si>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</si>
  <si>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</si>
  <si>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</si>
  <si>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</si>
  <si>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</si>
  <si>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</si>
  <si>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</si>
  <si>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</si>
  <si>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</si>
  <si>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</si>
  <si>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</si>
  <si>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</si>
  <si>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</si>
  <si>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</si>
  <si>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</si>
  <si>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</si>
  <si>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</si>
  <si>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</si>
  <si>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</si>
  <si>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</si>
  <si>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</si>
  <si>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</si>
  <si>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</si>
  <si>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</si>
  <si>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</si>
  <si>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</si>
  <si>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</si>
  <si>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</si>
  <si>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</si>
  <si>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</si>
  <si>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</si>
  <si>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</si>
  <si>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</si>
  <si>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</si>
  <si>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</si>
  <si>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</si>
  <si>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</si>
  <si>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</si>
  <si>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</si>
  <si>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</si>
  <si>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</si>
  <si>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</si>
  <si>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</si>
  <si>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</si>
  <si>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</si>
  <si>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</si>
  <si>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</si>
  <si>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</si>
  <si>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</si>
  <si>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</si>
  <si>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</si>
  <si>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</si>
  <si>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</si>
  <si>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</si>
  <si>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</si>
  <si>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</si>
  <si>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</si>
  <si>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</si>
  <si>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</si>
  <si>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</si>
  <si>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</si>
  <si>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</si>
  <si>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</si>
  <si>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</si>
  <si>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</si>
  <si>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</si>
  <si>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</si>
  <si>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</si>
  <si>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</si>
  <si>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</si>
  <si>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</si>
  <si>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</si>
  <si>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</si>
  <si>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</si>
  <si>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</si>
  <si>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</si>
  <si>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</si>
  <si>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</si>
  <si>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</si>
  <si>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</si>
  <si>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</si>
  <si>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</si>
  <si>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 xml:space="preserve">Active Employees </t>
  </si>
  <si>
    <t>Attrition Rate</t>
  </si>
  <si>
    <t>X</t>
  </si>
  <si>
    <t>Average of Job Satisfaction</t>
  </si>
  <si>
    <t>Rating</t>
  </si>
  <si>
    <t>Balance Rating</t>
  </si>
  <si>
    <t>Row Labels</t>
  </si>
  <si>
    <t>Grand Total</t>
  </si>
  <si>
    <t>Count of Employee Count</t>
  </si>
  <si>
    <t xml:space="preserve">Job Role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</si>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</sst>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sz val="12"/>
      <color theme="0" tint="-4.9989318521683403E-2"/>
      <name val="Calibri"/>
      <family val="2"/>
      <scheme val="minor"/>
    </font>
  </fonts>
  <fills count="3">
    <fill>
      <patternFill patternType="none"/>
    </fill>
    <fill>
      <patternFill patternType="gray125"/>
    </fill>
    <fill>
      <patternFill patternType="solid">
        <fgColor theme="0" tint="-4.9989318521683403E-2"/>
        <bgColor indexed="64"/>
      </patternFill>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1" fillId="0" borderId="0" xfId="0" applyFont="1"/>
    <xf numFmtId="0" fontId="1" fillId="0" borderId="0" xfId="0" applyFont="1" applyAlignment="1">
      <alignment wrapText="1"/>
    </xf>
    <xf numFmtId="0" fontId="0" fillId="0" borderId="1" xfId="0" applyBorder="1"/>
    <xf numFmtId="0" fontId="0" fillId="0" borderId="2" xfId="0" applyBorder="1"/>
    <xf numFmtId="0" fontId="0" fillId="0" borderId="4" xfId="0" applyBorder="1"/>
    <xf numFmtId="0" fontId="0" fillId="0" borderId="7" xfId="0" applyBorder="1"/>
    <xf numFmtId="10" fontId="0" fillId="0" borderId="0" xfId="1" applyNumberFormat="1" applyFont="1"/>
    <xf numFmtId="164" fontId="0" fillId="0" borderId="0" xfId="0" applyNumberFormat="1"/>
    <xf numFmtId="1" fontId="0" fillId="0" borderId="0" xfId="0" applyNumberFormat="1"/>
    <xf numFmtId="0" fontId="2" fillId="2" borderId="0" xfId="0" applyFont="1" applyFill="1"/>
    <xf numFmtId="164" fontId="0" fillId="0" borderId="3" xfId="0" applyNumberFormat="1" applyBorder="1"/>
    <xf numFmtId="0" fontId="0" fillId="0" borderId="1" xfId="0" pivotButton="1" applyBorder="1"/>
    <xf numFmtId="0" fontId="0" fillId="0" borderId="1" xfId="0" applyBorder="1" applyAlignment="1">
      <alignment horizontal="left"/>
    </xf>
    <xf numFmtId="0" fontId="0" fillId="0" borderId="2" xfId="0" applyNumberFormat="1" applyBorder="1"/>
    <xf numFmtId="0" fontId="0" fillId="0" borderId="9" xfId="0" applyBorder="1" applyAlignment="1">
      <alignment horizontal="left"/>
    </xf>
    <xf numFmtId="0" fontId="0" fillId="0" borderId="10" xfId="0" applyNumberFormat="1" applyBorder="1"/>
    <xf numFmtId="0" fontId="0" fillId="0" borderId="5" xfId="0" applyBorder="1" applyAlignment="1">
      <alignment horizontal="left"/>
    </xf>
    <xf numFmtId="0" fontId="0" fillId="0" borderId="3" xfId="0" applyNumberFormat="1" applyBorder="1"/>
    <xf numFmtId="0" fontId="0" fillId="0" borderId="0" xfId="0" applyFill="1" applyBorder="1" applyAlignment="1">
      <alignment horizontal="left"/>
    </xf>
    <xf numFmtId="9" fontId="0" fillId="0" borderId="0" xfId="1" applyFont="1"/>
    <xf numFmtId="10" fontId="0" fillId="0" borderId="2" xfId="0" applyNumberFormat="1" applyBorder="1"/>
    <xf numFmtId="10" fontId="0" fillId="0" borderId="10" xfId="0" applyNumberFormat="1" applyBorder="1"/>
    <xf numFmtId="10" fontId="0" fillId="0" borderId="3" xfId="0" applyNumberFormat="1" applyBorder="1"/>
    <xf numFmtId="0" fontId="0" fillId="0" borderId="5" xfId="0" applyNumberFormat="1" applyBorder="1"/>
    <xf numFmtId="0" fontId="0" fillId="0" borderId="8" xfId="0" applyNumberFormat="1" applyBorder="1"/>
    <xf numFmtId="0" fontId="0" fillId="0" borderId="6" xfId="0" applyNumberFormat="1" applyBorder="1"/>
  </cellXfs>
  <cellStyles count="2">
    <cellStyle name="Normal" xfId="0" builtinId="0"/>
    <cellStyle name="Percent" xfId="1" builtinId="5"/>
  </cellStyles>
  <dxfs count="5">
    <dxf>
      <fill>
        <patternFill>
          <bgColor theme="0"/>
        </patternFill>
      </fill>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
      <tableStyleElement type="firstRowStripe" dxfId="3"/>
      <tableStyleElement type="secondRowStripe" dxfId="2"/>
    </tableStyle>
    <tableStyle name="Slicer " pivot="0" table="0" count="4" xr9:uid="{030C78A9-64A4-4971-A35C-317E117FE741}">
      <tableStyleElement type="wholeTable" dxfId="0"/>
    </tableStyle>
  </tableStyles>
  <colors>
    <mruColors>
      <color rgb="FF602928"/>
      <color rgb="FF4007CF"/>
    </mruColors>
  </colors>
  <extLst>
    <ext xmlns:x14="http://schemas.microsoft.com/office/spreadsheetml/2009/9/main" uri="{46F421CA-312F-682f-3DD2-61675219B42D}">
      <x14:dxfs count="3">
        <dxf>
          <fill>
            <gradientFill degree="90">
              <stop position="0">
                <color theme="1" tint="0.1490218817712943"/>
              </stop>
              <stop position="1">
                <color theme="0" tint="-0.49803155613879818"/>
              </stop>
            </gradientFill>
          </fill>
        </dxf>
        <dxf>
          <fill>
            <gradientFill degree="90">
              <stop position="0">
                <color theme="1" tint="5.0965910824915313E-2"/>
              </stop>
              <stop position="1">
                <color theme="0" tint="-0.49803155613879818"/>
              </stop>
            </gradientFill>
          </fill>
        </dxf>
        <dxf>
          <font>
            <b/>
            <i val="0"/>
            <name val="Calibri"/>
            <family val="2"/>
            <scheme val="minor"/>
          </font>
          <fill>
            <gradientFill degree="90">
              <stop position="0">
                <color theme="0"/>
              </stop>
              <stop position="1">
                <color theme="4"/>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40-41B8-A12D-85FB9AF89C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40-41B8-A12D-85FB9AF89C43}"/>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C0D7-4850-BC5C-FC9F8FA25DD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1EF6-4BE1-B973-96B685159B1C}"/>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6-1EF6-4BE1-B973-96B685159B1C}"/>
            </c:ext>
          </c:extLst>
        </c:ser>
        <c:dLbls>
          <c:showLegendKey val="0"/>
          <c:showVal val="0"/>
          <c:showCatName val="0"/>
          <c:showSerName val="0"/>
          <c:showPercent val="0"/>
          <c:showBubbleSize val="0"/>
        </c:dLbls>
        <c:gapWidth val="0"/>
        <c:overlap val="100"/>
        <c:axId val="261971616"/>
        <c:axId val="261977376"/>
      </c:barChart>
      <c:catAx>
        <c:axId val="261971616"/>
        <c:scaling>
          <c:orientation val="minMax"/>
        </c:scaling>
        <c:delete val="1"/>
        <c:axPos val="l"/>
        <c:majorTickMark val="out"/>
        <c:minorTickMark val="none"/>
        <c:tickLblPos val="nextTo"/>
        <c:crossAx val="261977376"/>
        <c:crosses val="autoZero"/>
        <c:auto val="1"/>
        <c:lblAlgn val="ctr"/>
        <c:lblOffset val="100"/>
        <c:noMultiLvlLbl val="0"/>
      </c:catAx>
      <c:valAx>
        <c:axId val="261977376"/>
        <c:scaling>
          <c:orientation val="minMax"/>
          <c:max val="4"/>
          <c:min val="0"/>
        </c:scaling>
        <c:delete val="1"/>
        <c:axPos val="b"/>
        <c:numFmt formatCode="0.0" sourceLinked="1"/>
        <c:majorTickMark val="out"/>
        <c:minorTickMark val="none"/>
        <c:tickLblPos val="nextTo"/>
        <c:crossAx val="26197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Gender!$C$8:$C$9</c:f>
              <c:numCache>
                <c:formatCode>0%</c:formatCode>
                <c:ptCount val="2"/>
                <c:pt idx="0">
                  <c:v>0.4</c:v>
                </c:pt>
                <c:pt idx="1">
                  <c:v>0.6</c:v>
                </c:pt>
              </c:numCache>
            </c:numRef>
          </c:val>
          <c:extLst>
            <c:ext xmlns:c16="http://schemas.microsoft.com/office/drawing/2014/chart" uri="{C3380CC4-5D6E-409C-BE32-E72D297353CC}">
              <c16:uniqueId val="{00000000-691A-44C9-A639-C81084678EF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A65-4A20-AE1E-FE265ACB66A1}"/>
            </c:ext>
          </c:extLst>
        </c:ser>
        <c:dLbls>
          <c:dLblPos val="outEnd"/>
          <c:showLegendKey val="0"/>
          <c:showVal val="1"/>
          <c:showCatName val="0"/>
          <c:showSerName val="0"/>
          <c:showPercent val="0"/>
          <c:showBubbleSize val="0"/>
        </c:dLbls>
        <c:gapWidth val="182"/>
        <c:axId val="59012320"/>
        <c:axId val="59009440"/>
      </c:barChart>
      <c:catAx>
        <c:axId val="59012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09440"/>
        <c:crosses val="autoZero"/>
        <c:auto val="1"/>
        <c:lblAlgn val="ctr"/>
        <c:lblOffset val="100"/>
        <c:noMultiLvlLbl val="0"/>
      </c:catAx>
      <c:valAx>
        <c:axId val="59009440"/>
        <c:scaling>
          <c:orientation val="minMax"/>
        </c:scaling>
        <c:delete val="1"/>
        <c:axPos val="b"/>
        <c:numFmt formatCode="General" sourceLinked="1"/>
        <c:majorTickMark val="out"/>
        <c:minorTickMark val="none"/>
        <c:tickLblPos val="nextTo"/>
        <c:crossAx val="5901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13B-4BE2-9144-A814E22222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45C5-452D-B66F-5A865BD661AE}"/>
            </c:ext>
          </c:extLst>
        </c:ser>
        <c:dLbls>
          <c:showLegendKey val="0"/>
          <c:showVal val="0"/>
          <c:showCatName val="0"/>
          <c:showSerName val="0"/>
          <c:showPercent val="0"/>
          <c:showBubbleSize val="0"/>
        </c:dLbls>
        <c:gapWidth val="219"/>
        <c:overlap val="-27"/>
        <c:axId val="96102960"/>
        <c:axId val="96087120"/>
      </c:barChart>
      <c:catAx>
        <c:axId val="9610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87120"/>
        <c:crosses val="autoZero"/>
        <c:auto val="1"/>
        <c:lblAlgn val="ctr"/>
        <c:lblOffset val="100"/>
        <c:noMultiLvlLbl val="0"/>
      </c:catAx>
      <c:valAx>
        <c:axId val="96087120"/>
        <c:scaling>
          <c:orientation val="minMax"/>
        </c:scaling>
        <c:delete val="1"/>
        <c:axPos val="l"/>
        <c:numFmt formatCode="General" sourceLinked="1"/>
        <c:majorTickMark val="none"/>
        <c:minorTickMark val="none"/>
        <c:tickLblPos val="nextTo"/>
        <c:crossAx val="9610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E3BF-41B0-8D1A-F07A98F472D0}"/>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E3BF-41B0-8D1A-F07A98F472D0}"/>
            </c:ext>
          </c:extLst>
        </c:ser>
        <c:dLbls>
          <c:showLegendKey val="0"/>
          <c:showVal val="0"/>
          <c:showCatName val="0"/>
          <c:showSerName val="0"/>
          <c:showPercent val="0"/>
          <c:showBubbleSize val="0"/>
        </c:dLbls>
        <c:gapWidth val="0"/>
        <c:overlap val="100"/>
        <c:axId val="261971616"/>
        <c:axId val="261977376"/>
      </c:barChart>
      <c:catAx>
        <c:axId val="261971616"/>
        <c:scaling>
          <c:orientation val="minMax"/>
        </c:scaling>
        <c:delete val="1"/>
        <c:axPos val="l"/>
        <c:majorTickMark val="out"/>
        <c:minorTickMark val="none"/>
        <c:tickLblPos val="nextTo"/>
        <c:crossAx val="261977376"/>
        <c:crosses val="autoZero"/>
        <c:auto val="1"/>
        <c:lblAlgn val="ctr"/>
        <c:lblOffset val="100"/>
        <c:noMultiLvlLbl val="0"/>
      </c:catAx>
      <c:valAx>
        <c:axId val="261977376"/>
        <c:scaling>
          <c:orientation val="minMax"/>
          <c:max val="4"/>
          <c:min val="0"/>
        </c:scaling>
        <c:delete val="1"/>
        <c:axPos val="b"/>
        <c:numFmt formatCode="0.0" sourceLinked="1"/>
        <c:majorTickMark val="out"/>
        <c:minorTickMark val="none"/>
        <c:tickLblPos val="nextTo"/>
        <c:crossAx val="26197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40000"/>
                      <a:lumOff val="6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1-A567-44CF-84DA-D872EC6D1345}"/>
              </c:ext>
            </c:extLst>
          </c:dPt>
          <c:dPt>
            <c:idx val="1"/>
            <c:bubble3D val="0"/>
            <c:spPr>
              <a:solidFill>
                <a:schemeClr val="bg1">
                  <a:lumMod val="50000"/>
                </a:schemeClr>
              </a:solidFill>
              <a:ln w="19050">
                <a:noFill/>
              </a:ln>
              <a:effectLst/>
            </c:spPr>
            <c:extLst>
              <c:ext xmlns:c16="http://schemas.microsoft.com/office/drawing/2014/chart" uri="{C3380CC4-5D6E-409C-BE32-E72D297353CC}">
                <c16:uniqueId val="{00000003-A567-44CF-84DA-D872EC6D1345}"/>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A567-44CF-84DA-D872EC6D134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bg1">
                      <a:lumMod val="95000"/>
                    </a:schemeClr>
                  </a:gs>
                  <a:gs pos="57000">
                    <a:schemeClr val="accent5">
                      <a:lumMod val="50000"/>
                    </a:schemeClr>
                  </a:gs>
                  <a:gs pos="84000">
                    <a:schemeClr val="accent5">
                      <a:lumMod val="50000"/>
                    </a:schemeClr>
                  </a:gs>
                </a:gsLst>
                <a:lin ang="5400000" scaled="0"/>
              </a:gradFill>
              <a:ln w="19050">
                <a:noFill/>
              </a:ln>
              <a:effectLst/>
            </c:spPr>
            <c:extLst>
              <c:ext xmlns:c16="http://schemas.microsoft.com/office/drawing/2014/chart" uri="{C3380CC4-5D6E-409C-BE32-E72D297353CC}">
                <c16:uniqueId val="{00000001-379A-447A-B189-FC20CA1D43BA}"/>
              </c:ext>
            </c:extLst>
          </c:dPt>
          <c:dPt>
            <c:idx val="1"/>
            <c:bubble3D val="0"/>
            <c:spPr>
              <a:solidFill>
                <a:schemeClr val="tx1">
                  <a:lumMod val="50000"/>
                  <a:lumOff val="50000"/>
                </a:schemeClr>
              </a:solidFill>
              <a:ln w="19050">
                <a:noFill/>
              </a:ln>
              <a:effectLst/>
            </c:spPr>
            <c:extLst>
              <c:ext xmlns:c16="http://schemas.microsoft.com/office/drawing/2014/chart" uri="{C3380CC4-5D6E-409C-BE32-E72D297353CC}">
                <c16:uniqueId val="{00000003-379A-447A-B189-FC20CA1D43BA}"/>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379A-447A-B189-FC20CA1D43B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1-22BA-44EF-91C8-DF9E8DF71F9F}"/>
              </c:ext>
            </c:extLst>
          </c:dPt>
          <c:dPt>
            <c:idx val="1"/>
            <c:bubble3D val="0"/>
            <c:spPr>
              <a:gradFill>
                <a:gsLst>
                  <a:gs pos="0">
                    <a:schemeClr val="bg1">
                      <a:lumMod val="95000"/>
                    </a:schemeClr>
                  </a:gs>
                  <a:gs pos="84000">
                    <a:srgbClr val="7030A0"/>
                  </a:gs>
                </a:gsLst>
                <a:lin ang="5400000" scaled="0"/>
              </a:gradFill>
              <a:ln w="19050">
                <a:solidFill>
                  <a:schemeClr val="lt1"/>
                </a:solidFill>
              </a:ln>
              <a:effectLst/>
            </c:spPr>
            <c:extLst>
              <c:ext xmlns:c16="http://schemas.microsoft.com/office/drawing/2014/chart" uri="{C3380CC4-5D6E-409C-BE32-E72D297353CC}">
                <c16:uniqueId val="{00000003-22BA-44EF-91C8-DF9E8DF71F9F}"/>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22BA-44EF-91C8-DF9E8DF71F9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
                <a:schemeClr val="bg1">
                  <a:lumMod val="76000"/>
                </a:schemeClr>
              </a:gs>
              <a:gs pos="100000">
                <a:srgbClr val="00B050">
                  <a:lumMod val="75000"/>
                </a:srgb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1000">
                  <a:schemeClr val="bg1">
                    <a:lumMod val="76000"/>
                  </a:schemeClr>
                </a:gs>
                <a:gs pos="100000">
                  <a:srgbClr val="00B050">
                    <a:lumMod val="75000"/>
                  </a:srgb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C55-4326-8409-A09CC517926D}"/>
            </c:ext>
          </c:extLst>
        </c:ser>
        <c:dLbls>
          <c:dLblPos val="outEnd"/>
          <c:showLegendKey val="0"/>
          <c:showVal val="1"/>
          <c:showCatName val="0"/>
          <c:showSerName val="0"/>
          <c:showPercent val="0"/>
          <c:showBubbleSize val="0"/>
        </c:dLbls>
        <c:gapWidth val="75"/>
        <c:axId val="59012320"/>
        <c:axId val="59009440"/>
      </c:barChart>
      <c:catAx>
        <c:axId val="59012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9009440"/>
        <c:crosses val="autoZero"/>
        <c:auto val="1"/>
        <c:lblAlgn val="ctr"/>
        <c:lblOffset val="100"/>
        <c:noMultiLvlLbl val="0"/>
      </c:catAx>
      <c:valAx>
        <c:axId val="59009440"/>
        <c:scaling>
          <c:orientation val="minMax"/>
        </c:scaling>
        <c:delete val="1"/>
        <c:axPos val="b"/>
        <c:numFmt formatCode="General" sourceLinked="1"/>
        <c:majorTickMark val="out"/>
        <c:minorTickMark val="none"/>
        <c:tickLblPos val="nextTo"/>
        <c:crossAx val="5901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a:solidFill>
              <a:schemeClr val="lt1"/>
            </a:solidFill>
          </a:ln>
          <a:effectLst/>
        </c:spPr>
      </c:pivotFmt>
      <c:pivotFmt>
        <c:idx val="7"/>
        <c:spPr>
          <a:solidFill>
            <a:schemeClr val="accent5">
              <a:lumMod val="50000"/>
            </a:schemeClr>
          </a:solidFill>
          <a:ln w="9525">
            <a:solidFill>
              <a:schemeClr val="lt1"/>
            </a:solidFill>
          </a:ln>
          <a:effectLst/>
        </c:spPr>
      </c:pivotFmt>
      <c:pivotFmt>
        <c:idx val="8"/>
        <c:spPr>
          <a:solidFill>
            <a:schemeClr val="accent1"/>
          </a:solidFill>
          <a:ln w="9525">
            <a:solidFill>
              <a:schemeClr val="lt1"/>
            </a:solidFill>
          </a:ln>
          <a:effectLst/>
        </c:spPr>
      </c:pivotFmt>
    </c:pivotFmts>
    <c:plotArea>
      <c:layout/>
      <c:pieChart>
        <c:varyColors val="1"/>
        <c:ser>
          <c:idx val="0"/>
          <c:order val="0"/>
          <c:tx>
            <c:strRef>
              <c:f>'Department Wise Attrition'!$B$3</c:f>
              <c:strCache>
                <c:ptCount val="1"/>
                <c:pt idx="0">
                  <c:v>Total</c:v>
                </c:pt>
              </c:strCache>
            </c:strRef>
          </c:tx>
          <c:spPr>
            <a:ln w="9525"/>
          </c:spPr>
          <c:dPt>
            <c:idx val="0"/>
            <c:bubble3D val="0"/>
            <c:spPr>
              <a:solidFill>
                <a:schemeClr val="accent1"/>
              </a:solidFill>
              <a:ln w="9525">
                <a:solidFill>
                  <a:schemeClr val="lt1"/>
                </a:solidFill>
              </a:ln>
              <a:effectLst/>
            </c:spPr>
            <c:extLst>
              <c:ext xmlns:c16="http://schemas.microsoft.com/office/drawing/2014/chart" uri="{C3380CC4-5D6E-409C-BE32-E72D297353CC}">
                <c16:uniqueId val="{00000001-852E-474F-BD33-1AF22E01C81A}"/>
              </c:ext>
            </c:extLst>
          </c:dPt>
          <c:dPt>
            <c:idx val="1"/>
            <c:bubble3D val="0"/>
            <c:spPr>
              <a:solidFill>
                <a:schemeClr val="accent5">
                  <a:lumMod val="50000"/>
                </a:schemeClr>
              </a:solidFill>
              <a:ln w="9525">
                <a:solidFill>
                  <a:schemeClr val="lt1"/>
                </a:solidFill>
              </a:ln>
              <a:effectLst/>
            </c:spPr>
            <c:extLst>
              <c:ext xmlns:c16="http://schemas.microsoft.com/office/drawing/2014/chart" uri="{C3380CC4-5D6E-409C-BE32-E72D297353CC}">
                <c16:uniqueId val="{00000003-852E-474F-BD33-1AF22E01C81A}"/>
              </c:ext>
            </c:extLst>
          </c:dPt>
          <c:dPt>
            <c:idx val="2"/>
            <c:bubble3D val="0"/>
            <c:spPr>
              <a:solidFill>
                <a:schemeClr val="accent3"/>
              </a:solidFill>
              <a:ln w="9525">
                <a:solidFill>
                  <a:schemeClr val="lt1"/>
                </a:solidFill>
              </a:ln>
              <a:effectLst/>
            </c:spPr>
            <c:extLst>
              <c:ext xmlns:c16="http://schemas.microsoft.com/office/drawing/2014/chart" uri="{C3380CC4-5D6E-409C-BE32-E72D297353CC}">
                <c16:uniqueId val="{00000005-852E-474F-BD33-1AF22E01C81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852E-474F-BD33-1AF22E01C81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
                <a:schemeClr val="accent5">
                  <a:lumMod val="40000"/>
                  <a:lumOff val="60000"/>
                </a:schemeClr>
              </a:gs>
              <a:gs pos="100000">
                <a:srgbClr val="00206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1000">
                  <a:schemeClr val="accent5">
                    <a:lumMod val="40000"/>
                    <a:lumOff val="60000"/>
                  </a:schemeClr>
                </a:gs>
                <a:gs pos="100000">
                  <a:srgbClr val="002060"/>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69B-4491-A80C-1FC8E8455ACD}"/>
            </c:ext>
          </c:extLst>
        </c:ser>
        <c:dLbls>
          <c:dLblPos val="outEnd"/>
          <c:showLegendKey val="0"/>
          <c:showVal val="1"/>
          <c:showCatName val="0"/>
          <c:showSerName val="0"/>
          <c:showPercent val="0"/>
          <c:showBubbleSize val="0"/>
        </c:dLbls>
        <c:gapWidth val="107"/>
        <c:overlap val="-27"/>
        <c:axId val="96102960"/>
        <c:axId val="96087120"/>
      </c:barChart>
      <c:catAx>
        <c:axId val="9610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6087120"/>
        <c:crosses val="autoZero"/>
        <c:auto val="1"/>
        <c:lblAlgn val="ctr"/>
        <c:lblOffset val="100"/>
        <c:noMultiLvlLbl val="0"/>
      </c:catAx>
      <c:valAx>
        <c:axId val="96087120"/>
        <c:scaling>
          <c:orientation val="minMax"/>
        </c:scaling>
        <c:delete val="1"/>
        <c:axPos val="l"/>
        <c:numFmt formatCode="General" sourceLinked="1"/>
        <c:majorTickMark val="none"/>
        <c:minorTickMark val="none"/>
        <c:tickLblPos val="nextTo"/>
        <c:crossAx val="9610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D260-4C72-BE10-B9B4BC597D82}">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F36EDDF6-2912-432B-B151-835282165A07}">
          <cx:tx>
            <cx:txData>
              <cx:f>_xlchart.v2.3</cx:f>
              <cx:v>Attrition</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_xlchart.v1.12</cx:f>
      </cx:numDim>
    </cx:data>
  </cx:chartData>
  <cx:chart>
    <cx:plotArea>
      <cx:plotAreaRegion>
        <cx:series layoutId="treemap" uniqueId="{00000000-D260-4C72-BE10-B9B4BC597D82}">
          <cx:spPr>
            <a:ln>
              <a:noFill/>
            </a:ln>
          </cx:spPr>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plotArea>
      <cx:plotAreaRegion>
        <cx:series layoutId="funnel" uniqueId="{F36EDDF6-2912-432B-B151-835282165A07}">
          <cx:tx>
            <cx:txData>
              <cx:f>_xlchart.v2.9</cx:f>
              <cx:v>Attrition</cx:v>
            </cx:txData>
          </cx:tx>
          <cx:spPr>
            <a:gradFill>
              <a:gsLst>
                <a:gs pos="1000">
                  <a:schemeClr val="accent1">
                    <a:lumMod val="60000"/>
                    <a:lumOff val="40000"/>
                  </a:schemeClr>
                </a:gs>
                <a:gs pos="100000">
                  <a:schemeClr val="accent1">
                    <a:lumMod val="50000"/>
                  </a:schemeClr>
                </a:gs>
              </a:gsLst>
              <a:lin ang="0" scaled="0"/>
            </a:gradFill>
          </cx:spPr>
          <cx:dataLabels>
            <cx:spPr>
              <a:noFill/>
            </cx:spPr>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a:ea typeface="Calibri"/>
                  <a:cs typeface="Calibri"/>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tx1"/>
                      </a:solidFill>
                    </a:defRPr>
                  </a:pPr>
                  <a:r>
                    <a:rPr lang="en-US" sz="1200" b="1" i="0" u="none" strike="noStrike" baseline="0">
                      <a:solidFill>
                        <a:schemeClr val="tx1"/>
                      </a:solidFill>
                      <a:latin typeface="Calibri"/>
                      <a:ea typeface="Calibri"/>
                      <a:cs typeface="Calibri"/>
                    </a:rPr>
                    <a:t>327</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rgbClr val="002060"/>
                </a:solidFill>
                <a:latin typeface="Arial Black" panose="020B0A04020102020204" pitchFamily="34" charset="0"/>
                <a:ea typeface="Arial Black" panose="020B0A04020102020204" pitchFamily="34" charset="0"/>
                <a:cs typeface="Arial Black" panose="020B0A04020102020204" pitchFamily="34" charset="0"/>
              </a:defRPr>
            </a:pPr>
            <a:endParaRPr lang="en-US" sz="1000" b="1" i="0" u="none" strike="noStrike" baseline="0">
              <a:solidFill>
                <a:srgbClr val="002060"/>
              </a:solidFill>
              <a:latin typeface="Arial Black" panose="020B0A04020102020204" pitchFamily="34" charset="0"/>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1.svg"/><Relationship Id="rId13" Type="http://schemas.microsoft.com/office/2014/relationships/chartEx" Target="../charts/chartEx4.xml"/><Relationship Id="rId3" Type="http://schemas.openxmlformats.org/officeDocument/2006/relationships/chart" Target="../charts/chart9.xml"/><Relationship Id="rId7" Type="http://schemas.openxmlformats.org/officeDocument/2006/relationships/image" Target="../media/image10.png"/><Relationship Id="rId12"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9.svg"/><Relationship Id="rId11" Type="http://schemas.openxmlformats.org/officeDocument/2006/relationships/chart" Target="../charts/chart12.xml"/><Relationship Id="rId5" Type="http://schemas.openxmlformats.org/officeDocument/2006/relationships/image" Target="../media/image8.png"/><Relationship Id="rId10" Type="http://schemas.microsoft.com/office/2014/relationships/chartEx" Target="../charts/chartEx3.xml"/><Relationship Id="rId4" Type="http://schemas.openxmlformats.org/officeDocument/2006/relationships/chart" Target="../charts/chart10.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8</xdr:col>
      <xdr:colOff>487680</xdr:colOff>
      <xdr:row>2</xdr:row>
      <xdr:rowOff>160020</xdr:rowOff>
    </xdr:from>
    <xdr:to>
      <xdr:col>11</xdr:col>
      <xdr:colOff>304800</xdr:colOff>
      <xdr:row>16</xdr:row>
      <xdr:rowOff>81915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80A91811-0096-3BDD-A086-E2FAC2AE7A0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304020" y="5562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xdr:colOff>
      <xdr:row>4</xdr:row>
      <xdr:rowOff>38100</xdr:rowOff>
    </xdr:from>
    <xdr:to>
      <xdr:col>6</xdr:col>
      <xdr:colOff>278130</xdr:colOff>
      <xdr:row>8</xdr:row>
      <xdr:rowOff>22860</xdr:rowOff>
    </xdr:to>
    <xdr:graphicFrame macro="">
      <xdr:nvGraphicFramePr>
        <xdr:cNvPr id="2" name="Chart 1">
          <a:extLst>
            <a:ext uri="{FF2B5EF4-FFF2-40B4-BE49-F238E27FC236}">
              <a16:creationId xmlns:a16="http://schemas.microsoft.com/office/drawing/2014/main" id="{163B676E-1E3E-9F7E-6869-68B402C23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7620</xdr:colOff>
      <xdr:row>1</xdr:row>
      <xdr:rowOff>30481</xdr:rowOff>
    </xdr:from>
    <xdr:to>
      <xdr:col>9</xdr:col>
      <xdr:colOff>495300</xdr:colOff>
      <xdr:row>6</xdr:row>
      <xdr:rowOff>15241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79804653-9D6A-5273-371D-C56C7A0969C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829300" y="228601"/>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1649730</xdr:colOff>
      <xdr:row>19</xdr:row>
      <xdr:rowOff>45720</xdr:rowOff>
    </xdr:from>
    <xdr:to>
      <xdr:col>5</xdr:col>
      <xdr:colOff>182880</xdr:colOff>
      <xdr:row>23</xdr:row>
      <xdr:rowOff>91440</xdr:rowOff>
    </xdr:to>
    <xdr:graphicFrame macro="">
      <xdr:nvGraphicFramePr>
        <xdr:cNvPr id="4" name="Chart 3">
          <a:extLst>
            <a:ext uri="{FF2B5EF4-FFF2-40B4-BE49-F238E27FC236}">
              <a16:creationId xmlns:a16="http://schemas.microsoft.com/office/drawing/2014/main" id="{CDDE7BCE-B449-2FD1-267F-EBF6658F3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449580</xdr:colOff>
      <xdr:row>2</xdr:row>
      <xdr:rowOff>53341</xdr:rowOff>
    </xdr:from>
    <xdr:to>
      <xdr:col>13</xdr:col>
      <xdr:colOff>266700</xdr:colOff>
      <xdr:row>13</xdr:row>
      <xdr:rowOff>15241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77E964B0-B8DE-C99B-8797-FA5590BD9EDF}"/>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282940" y="449581"/>
              <a:ext cx="182880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548640</xdr:colOff>
      <xdr:row>3</xdr:row>
      <xdr:rowOff>175260</xdr:rowOff>
    </xdr:from>
    <xdr:to>
      <xdr:col>8</xdr:col>
      <xdr:colOff>365760</xdr:colOff>
      <xdr:row>17</xdr:row>
      <xdr:rowOff>97155</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FF7A0E59-8AF6-C3F0-A62C-3473F66DB3A1}"/>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5227320" y="7696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83820</xdr:colOff>
      <xdr:row>4</xdr:row>
      <xdr:rowOff>53340</xdr:rowOff>
    </xdr:from>
    <xdr:to>
      <xdr:col>11</xdr:col>
      <xdr:colOff>571500</xdr:colOff>
      <xdr:row>17</xdr:row>
      <xdr:rowOff>173355</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C9B5C4BB-0490-24BC-5548-B5759A61457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7444740" y="8458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80010</xdr:colOff>
      <xdr:row>9</xdr:row>
      <xdr:rowOff>182880</xdr:rowOff>
    </xdr:from>
    <xdr:to>
      <xdr:col>2</xdr:col>
      <xdr:colOff>114300</xdr:colOff>
      <xdr:row>17</xdr:row>
      <xdr:rowOff>137160</xdr:rowOff>
    </xdr:to>
    <xdr:graphicFrame macro="">
      <xdr:nvGraphicFramePr>
        <xdr:cNvPr id="4" name="Chart 3">
          <a:extLst>
            <a:ext uri="{FF2B5EF4-FFF2-40B4-BE49-F238E27FC236}">
              <a16:creationId xmlns:a16="http://schemas.microsoft.com/office/drawing/2014/main" id="{94B3F3B2-62DC-941A-39B3-05399306A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1710690</xdr:colOff>
      <xdr:row>6</xdr:row>
      <xdr:rowOff>171450</xdr:rowOff>
    </xdr:from>
    <xdr:to>
      <xdr:col>8</xdr:col>
      <xdr:colOff>521970</xdr:colOff>
      <xdr:row>20</xdr:row>
      <xdr:rowOff>140970</xdr:rowOff>
    </xdr:to>
    <xdr:graphicFrame macro="">
      <xdr:nvGraphicFramePr>
        <xdr:cNvPr id="2" name="Chart 1">
          <a:extLst>
            <a:ext uri="{FF2B5EF4-FFF2-40B4-BE49-F238E27FC236}">
              <a16:creationId xmlns:a16="http://schemas.microsoft.com/office/drawing/2014/main" id="{AD6DE824-FD37-3E94-B288-C8FA2A9CC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415290</xdr:colOff>
      <xdr:row>2</xdr:row>
      <xdr:rowOff>99060</xdr:rowOff>
    </xdr:from>
    <xdr:to>
      <xdr:col>12</xdr:col>
      <xdr:colOff>293370</xdr:colOff>
      <xdr:row>16</xdr:row>
      <xdr:rowOff>68580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5978C28-B254-551F-97D7-783C4DB2F5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44690" y="4953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262890</xdr:colOff>
      <xdr:row>6</xdr:row>
      <xdr:rowOff>171450</xdr:rowOff>
    </xdr:from>
    <xdr:to>
      <xdr:col>9</xdr:col>
      <xdr:colOff>140970</xdr:colOff>
      <xdr:row>20</xdr:row>
      <xdr:rowOff>140970</xdr:rowOff>
    </xdr:to>
    <xdr:graphicFrame macro="">
      <xdr:nvGraphicFramePr>
        <xdr:cNvPr id="2" name="Chart 1">
          <a:extLst>
            <a:ext uri="{FF2B5EF4-FFF2-40B4-BE49-F238E27FC236}">
              <a16:creationId xmlns:a16="http://schemas.microsoft.com/office/drawing/2014/main" id="{8AEB4195-0533-A82F-8764-92CD03559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262890</xdr:colOff>
      <xdr:row>6</xdr:row>
      <xdr:rowOff>171450</xdr:rowOff>
    </xdr:from>
    <xdr:to>
      <xdr:col>9</xdr:col>
      <xdr:colOff>140970</xdr:colOff>
      <xdr:row>20</xdr:row>
      <xdr:rowOff>140970</xdr:rowOff>
    </xdr:to>
    <xdr:graphicFrame macro="">
      <xdr:nvGraphicFramePr>
        <xdr:cNvPr id="2" name="Chart 1">
          <a:extLst>
            <a:ext uri="{FF2B5EF4-FFF2-40B4-BE49-F238E27FC236}">
              <a16:creationId xmlns:a16="http://schemas.microsoft.com/office/drawing/2014/main" id="{C1ECD8B2-577B-658F-6D98-3F8B5131D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502920</xdr:colOff>
      <xdr:row>6</xdr:row>
      <xdr:rowOff>76200</xdr:rowOff>
    </xdr:from>
    <xdr:to>
      <xdr:col>7</xdr:col>
      <xdr:colOff>320040</xdr:colOff>
      <xdr:row>19</xdr:row>
      <xdr:rowOff>196215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901AE0D5-745A-AAF9-D3C5-9B3CE0B3013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511040" y="12649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312420</xdr:colOff>
      <xdr:row>8</xdr:row>
      <xdr:rowOff>160020</xdr:rowOff>
    </xdr:from>
    <xdr:to>
      <xdr:col>8</xdr:col>
      <xdr:colOff>129540</xdr:colOff>
      <xdr:row>22</xdr:row>
      <xdr:rowOff>81915</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46047589-A90C-19D5-FC0F-02C6FE8149FD}"/>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4991100" y="17449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201930</xdr:colOff>
      <xdr:row>6</xdr:row>
      <xdr:rowOff>167640</xdr:rowOff>
    </xdr:from>
    <xdr:to>
      <xdr:col>11</xdr:col>
      <xdr:colOff>80010</xdr:colOff>
      <xdr:row>20</xdr:row>
      <xdr:rowOff>137160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52F0006-156F-84C8-3BD8-6208A5BB64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3563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874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639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382198</xdr:colOff>
      <xdr:row>1</xdr:row>
      <xdr:rowOff>4483</xdr:rowOff>
    </xdr:from>
    <xdr:ext cx="13969419" cy="8666552"/>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9095" y="201552"/>
          <a:ext cx="13969419" cy="8666552"/>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25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500">
                  <a:solidFill>
                    <a:schemeClr val="lt1"/>
                  </a:solidFill>
                  <a:latin typeface="Calibri"/>
                  <a:ea typeface="Calibri"/>
                  <a:cs typeface="Calibri"/>
                  <a:sym typeface="Calibri"/>
                </a:rPr>
                <a:t>`</a:t>
              </a:r>
              <a:endParaRPr sz="25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25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5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18</xdr:col>
      <xdr:colOff>512378</xdr:colOff>
      <xdr:row>1</xdr:row>
      <xdr:rowOff>144517</xdr:rowOff>
    </xdr:from>
    <xdr:to>
      <xdr:col>22</xdr:col>
      <xdr:colOff>394137</xdr:colOff>
      <xdr:row>5</xdr:row>
      <xdr:rowOff>186821</xdr:rowOff>
    </xdr:to>
    <xdr:graphicFrame macro="">
      <xdr:nvGraphicFramePr>
        <xdr:cNvPr id="103" name="Chart 102">
          <a:extLst>
            <a:ext uri="{FF2B5EF4-FFF2-40B4-BE49-F238E27FC236}">
              <a16:creationId xmlns:a16="http://schemas.microsoft.com/office/drawing/2014/main" id="{A34D02D4-76A9-418D-B0AE-724618445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547352</xdr:colOff>
      <xdr:row>7</xdr:row>
      <xdr:rowOff>78827</xdr:rowOff>
    </xdr:from>
    <xdr:to>
      <xdr:col>5</xdr:col>
      <xdr:colOff>407276</xdr:colOff>
      <xdr:row>9</xdr:row>
      <xdr:rowOff>170793</xdr:rowOff>
    </xdr:to>
    <xdr:sp macro="" textlink="">
      <xdr:nvSpPr>
        <xdr:cNvPr id="3" name="TextBox 2">
          <a:extLst>
            <a:ext uri="{FF2B5EF4-FFF2-40B4-BE49-F238E27FC236}">
              <a16:creationId xmlns:a16="http://schemas.microsoft.com/office/drawing/2014/main" id="{2CA0CEC6-72F3-27B6-038F-790F77718159}"/>
            </a:ext>
          </a:extLst>
        </xdr:cNvPr>
        <xdr:cNvSpPr txBox="1"/>
      </xdr:nvSpPr>
      <xdr:spPr>
        <a:xfrm>
          <a:off x="1204249" y="1458310"/>
          <a:ext cx="2487510" cy="486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200" b="1">
              <a:solidFill>
                <a:srgbClr val="602928"/>
              </a:solidFill>
              <a:latin typeface="Arial Rounded MT Bold" panose="020F0704030504030204" pitchFamily="34" charset="0"/>
            </a:rPr>
            <a:t>Total</a:t>
          </a:r>
          <a:r>
            <a:rPr lang="en-IN" sz="2200" b="1" baseline="0">
              <a:solidFill>
                <a:srgbClr val="602928"/>
              </a:solidFill>
              <a:latin typeface="Arial Rounded MT Bold" panose="020F0704030504030204" pitchFamily="34" charset="0"/>
            </a:rPr>
            <a:t> Employees </a:t>
          </a:r>
          <a:endParaRPr lang="en-IN" sz="2200" b="1">
            <a:solidFill>
              <a:srgbClr val="602928"/>
            </a:solidFill>
            <a:latin typeface="Arial Rounded MT Bold" panose="020F0704030504030204" pitchFamily="34" charset="0"/>
          </a:endParaRPr>
        </a:p>
      </xdr:txBody>
    </xdr:sp>
    <xdr:clientData/>
  </xdr:twoCellAnchor>
  <xdr:twoCellAnchor>
    <xdr:from>
      <xdr:col>2</xdr:col>
      <xdr:colOff>0</xdr:colOff>
      <xdr:row>8</xdr:row>
      <xdr:rowOff>183931</xdr:rowOff>
    </xdr:from>
    <xdr:to>
      <xdr:col>5</xdr:col>
      <xdr:colOff>197069</xdr:colOff>
      <xdr:row>12</xdr:row>
      <xdr:rowOff>118241</xdr:rowOff>
    </xdr:to>
    <xdr:sp macro="" textlink="KPI!A7">
      <xdr:nvSpPr>
        <xdr:cNvPr id="5" name="TextBox 4">
          <a:extLst>
            <a:ext uri="{FF2B5EF4-FFF2-40B4-BE49-F238E27FC236}">
              <a16:creationId xmlns:a16="http://schemas.microsoft.com/office/drawing/2014/main" id="{D54FCA0E-9234-B00B-B4A6-F1017C3D2958}"/>
            </a:ext>
          </a:extLst>
        </xdr:cNvPr>
        <xdr:cNvSpPr txBox="1"/>
      </xdr:nvSpPr>
      <xdr:spPr>
        <a:xfrm>
          <a:off x="1313793" y="1760483"/>
          <a:ext cx="2167759" cy="722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D209F6-0096-449F-B2CB-2C9CF03BF4A9}" type="TxLink">
            <a:rPr lang="en-US" sz="2600" b="0" i="0" u="none" strike="noStrike">
              <a:solidFill>
                <a:srgbClr val="002060"/>
              </a:solidFill>
              <a:latin typeface="Arial Black" panose="020B0A04020102020204" pitchFamily="34" charset="0"/>
              <a:ea typeface="Calibri"/>
              <a:cs typeface="Calibri"/>
            </a:rPr>
            <a:pPr algn="ctr"/>
            <a:t>1470</a:t>
          </a:fld>
          <a:endParaRPr lang="en-IN" sz="2600">
            <a:solidFill>
              <a:srgbClr val="002060"/>
            </a:solidFill>
            <a:latin typeface="Arial Black" panose="020B0A04020102020204" pitchFamily="34" charset="0"/>
          </a:endParaRPr>
        </a:p>
      </xdr:txBody>
    </xdr:sp>
    <xdr:clientData/>
  </xdr:twoCellAnchor>
  <xdr:twoCellAnchor>
    <xdr:from>
      <xdr:col>6</xdr:col>
      <xdr:colOff>187373</xdr:colOff>
      <xdr:row>7</xdr:row>
      <xdr:rowOff>73574</xdr:rowOff>
    </xdr:from>
    <xdr:to>
      <xdr:col>10</xdr:col>
      <xdr:colOff>47296</xdr:colOff>
      <xdr:row>9</xdr:row>
      <xdr:rowOff>165540</xdr:rowOff>
    </xdr:to>
    <xdr:sp macro="" textlink="">
      <xdr:nvSpPr>
        <xdr:cNvPr id="89" name="TextBox 88">
          <a:extLst>
            <a:ext uri="{FF2B5EF4-FFF2-40B4-BE49-F238E27FC236}">
              <a16:creationId xmlns:a16="http://schemas.microsoft.com/office/drawing/2014/main" id="{14204451-6128-4FD0-9DF7-F4B54D4867A7}"/>
            </a:ext>
          </a:extLst>
        </xdr:cNvPr>
        <xdr:cNvSpPr txBox="1"/>
      </xdr:nvSpPr>
      <xdr:spPr>
        <a:xfrm>
          <a:off x="4128752" y="1453057"/>
          <a:ext cx="2487510" cy="486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200" b="1">
              <a:solidFill>
                <a:srgbClr val="602928"/>
              </a:solidFill>
              <a:latin typeface="Arial Rounded MT Bold" panose="020F0704030504030204" pitchFamily="34" charset="0"/>
            </a:rPr>
            <a:t>Attrition</a:t>
          </a:r>
          <a:r>
            <a:rPr lang="en-IN" sz="2200" b="1" baseline="0">
              <a:solidFill>
                <a:srgbClr val="602928"/>
              </a:solidFill>
              <a:latin typeface="Arial Rounded MT Bold" panose="020F0704030504030204" pitchFamily="34" charset="0"/>
            </a:rPr>
            <a:t> Count</a:t>
          </a:r>
          <a:endParaRPr lang="en-IN" sz="2200" b="1">
            <a:solidFill>
              <a:srgbClr val="602928"/>
            </a:solidFill>
            <a:latin typeface="Arial Rounded MT Bold" panose="020F0704030504030204" pitchFamily="34" charset="0"/>
          </a:endParaRPr>
        </a:p>
      </xdr:txBody>
    </xdr:sp>
    <xdr:clientData/>
  </xdr:twoCellAnchor>
  <xdr:twoCellAnchor>
    <xdr:from>
      <xdr:col>6</xdr:col>
      <xdr:colOff>270641</xdr:colOff>
      <xdr:row>8</xdr:row>
      <xdr:rowOff>152402</xdr:rowOff>
    </xdr:from>
    <xdr:to>
      <xdr:col>9</xdr:col>
      <xdr:colOff>467710</xdr:colOff>
      <xdr:row>12</xdr:row>
      <xdr:rowOff>86712</xdr:rowOff>
    </xdr:to>
    <xdr:sp macro="" textlink="KPI!B7">
      <xdr:nvSpPr>
        <xdr:cNvPr id="90" name="TextBox 89">
          <a:extLst>
            <a:ext uri="{FF2B5EF4-FFF2-40B4-BE49-F238E27FC236}">
              <a16:creationId xmlns:a16="http://schemas.microsoft.com/office/drawing/2014/main" id="{1D62766F-7D71-46C9-B65A-6236C115FF96}"/>
            </a:ext>
          </a:extLst>
        </xdr:cNvPr>
        <xdr:cNvSpPr txBox="1"/>
      </xdr:nvSpPr>
      <xdr:spPr>
        <a:xfrm>
          <a:off x="4212020" y="1728954"/>
          <a:ext cx="2167759" cy="722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851CCF-C45D-498A-AECB-B649CB544E17}" type="TxLink">
            <a:rPr lang="en-US" sz="2600" b="0" i="0" u="none" strike="noStrike">
              <a:solidFill>
                <a:srgbClr val="002060"/>
              </a:solidFill>
              <a:latin typeface="Arial Black" panose="020B0A04020102020204" pitchFamily="34" charset="0"/>
              <a:ea typeface="Calibri"/>
              <a:cs typeface="Calibri"/>
            </a:rPr>
            <a:pPr algn="ctr"/>
            <a:t>237</a:t>
          </a:fld>
          <a:endParaRPr lang="en-US" sz="26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10</xdr:col>
      <xdr:colOff>118240</xdr:colOff>
      <xdr:row>7</xdr:row>
      <xdr:rowOff>47296</xdr:rowOff>
    </xdr:from>
    <xdr:to>
      <xdr:col>14</xdr:col>
      <xdr:colOff>99847</xdr:colOff>
      <xdr:row>9</xdr:row>
      <xdr:rowOff>139262</xdr:rowOff>
    </xdr:to>
    <xdr:sp macro="" textlink="">
      <xdr:nvSpPr>
        <xdr:cNvPr id="91" name="TextBox 90">
          <a:extLst>
            <a:ext uri="{FF2B5EF4-FFF2-40B4-BE49-F238E27FC236}">
              <a16:creationId xmlns:a16="http://schemas.microsoft.com/office/drawing/2014/main" id="{48E45D8F-294A-4BEC-ADED-3BD482B22566}"/>
            </a:ext>
          </a:extLst>
        </xdr:cNvPr>
        <xdr:cNvSpPr txBox="1"/>
      </xdr:nvSpPr>
      <xdr:spPr>
        <a:xfrm>
          <a:off x="6687206" y="1426779"/>
          <a:ext cx="2609193" cy="486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200" b="1" baseline="0">
              <a:solidFill>
                <a:srgbClr val="602928"/>
              </a:solidFill>
              <a:latin typeface="Arial Rounded MT Bold" panose="020F0704030504030204" pitchFamily="34" charset="0"/>
            </a:rPr>
            <a:t>Active Employees</a:t>
          </a:r>
          <a:endParaRPr lang="en-IN" sz="2200" b="1">
            <a:solidFill>
              <a:srgbClr val="602928"/>
            </a:solidFill>
            <a:latin typeface="Arial Rounded MT Bold" panose="020F0704030504030204" pitchFamily="34" charset="0"/>
          </a:endParaRPr>
        </a:p>
      </xdr:txBody>
    </xdr:sp>
    <xdr:clientData/>
  </xdr:twoCellAnchor>
  <xdr:twoCellAnchor>
    <xdr:from>
      <xdr:col>10</xdr:col>
      <xdr:colOff>467709</xdr:colOff>
      <xdr:row>8</xdr:row>
      <xdr:rowOff>152400</xdr:rowOff>
    </xdr:from>
    <xdr:to>
      <xdr:col>14</xdr:col>
      <xdr:colOff>7882</xdr:colOff>
      <xdr:row>12</xdr:row>
      <xdr:rowOff>86710</xdr:rowOff>
    </xdr:to>
    <xdr:sp macro="" textlink="KPI!D7">
      <xdr:nvSpPr>
        <xdr:cNvPr id="92" name="TextBox 91">
          <a:extLst>
            <a:ext uri="{FF2B5EF4-FFF2-40B4-BE49-F238E27FC236}">
              <a16:creationId xmlns:a16="http://schemas.microsoft.com/office/drawing/2014/main" id="{5369AE07-7B9A-4823-8B0B-409C094199C1}"/>
            </a:ext>
          </a:extLst>
        </xdr:cNvPr>
        <xdr:cNvSpPr txBox="1"/>
      </xdr:nvSpPr>
      <xdr:spPr>
        <a:xfrm>
          <a:off x="7036675" y="1728952"/>
          <a:ext cx="2167759" cy="722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65A5CD-3F18-437E-A9A3-AB2B9E53DFF9}" type="TxLink">
            <a:rPr lang="en-US" sz="2600" b="0" i="0" u="none" strike="noStrike">
              <a:solidFill>
                <a:srgbClr val="002060"/>
              </a:solidFill>
              <a:latin typeface="Arial Black" panose="020B0A04020102020204" pitchFamily="34" charset="0"/>
              <a:ea typeface="Calibri"/>
              <a:cs typeface="Calibri"/>
            </a:rPr>
            <a:pPr algn="ctr"/>
            <a:t>1233</a:t>
          </a:fld>
          <a:endParaRPr lang="en-IN" sz="2600">
            <a:solidFill>
              <a:srgbClr val="002060"/>
            </a:solidFill>
            <a:latin typeface="Arial Black" panose="020B0A04020102020204" pitchFamily="34" charset="0"/>
          </a:endParaRPr>
        </a:p>
      </xdr:txBody>
    </xdr:sp>
    <xdr:clientData/>
  </xdr:twoCellAnchor>
  <xdr:twoCellAnchor>
    <xdr:from>
      <xdr:col>14</xdr:col>
      <xdr:colOff>408473</xdr:colOff>
      <xdr:row>7</xdr:row>
      <xdr:rowOff>30759</xdr:rowOff>
    </xdr:from>
    <xdr:to>
      <xdr:col>18</xdr:col>
      <xdr:colOff>268397</xdr:colOff>
      <xdr:row>9</xdr:row>
      <xdr:rowOff>122725</xdr:rowOff>
    </xdr:to>
    <xdr:sp macro="" textlink="">
      <xdr:nvSpPr>
        <xdr:cNvPr id="93" name="TextBox 92">
          <a:extLst>
            <a:ext uri="{FF2B5EF4-FFF2-40B4-BE49-F238E27FC236}">
              <a16:creationId xmlns:a16="http://schemas.microsoft.com/office/drawing/2014/main" id="{F53DC3EC-9B60-4202-AA12-C368BC48B8AB}"/>
            </a:ext>
          </a:extLst>
        </xdr:cNvPr>
        <xdr:cNvSpPr txBox="1"/>
      </xdr:nvSpPr>
      <xdr:spPr>
        <a:xfrm>
          <a:off x="9605025" y="1410242"/>
          <a:ext cx="2487510" cy="486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200" b="1">
              <a:solidFill>
                <a:srgbClr val="602928"/>
              </a:solidFill>
              <a:latin typeface="Arial Rounded MT Bold" panose="020F0704030504030204" pitchFamily="34" charset="0"/>
            </a:rPr>
            <a:t>Attrition</a:t>
          </a:r>
          <a:r>
            <a:rPr lang="en-IN" sz="2200" b="1" baseline="0">
              <a:solidFill>
                <a:srgbClr val="602928"/>
              </a:solidFill>
              <a:latin typeface="Arial Rounded MT Bold" panose="020F0704030504030204" pitchFamily="34" charset="0"/>
            </a:rPr>
            <a:t> Rate</a:t>
          </a:r>
          <a:endParaRPr lang="en-IN" sz="2200" b="1">
            <a:solidFill>
              <a:srgbClr val="602928"/>
            </a:solidFill>
            <a:latin typeface="Arial Rounded MT Bold" panose="020F0704030504030204" pitchFamily="34" charset="0"/>
          </a:endParaRPr>
        </a:p>
      </xdr:txBody>
    </xdr:sp>
    <xdr:clientData/>
  </xdr:twoCellAnchor>
  <xdr:twoCellAnchor>
    <xdr:from>
      <xdr:col>14</xdr:col>
      <xdr:colOff>518017</xdr:colOff>
      <xdr:row>8</xdr:row>
      <xdr:rowOff>135863</xdr:rowOff>
    </xdr:from>
    <xdr:to>
      <xdr:col>18</xdr:col>
      <xdr:colOff>58190</xdr:colOff>
      <xdr:row>12</xdr:row>
      <xdr:rowOff>70173</xdr:rowOff>
    </xdr:to>
    <xdr:sp macro="" textlink="KPI!E7">
      <xdr:nvSpPr>
        <xdr:cNvPr id="94" name="TextBox 93">
          <a:extLst>
            <a:ext uri="{FF2B5EF4-FFF2-40B4-BE49-F238E27FC236}">
              <a16:creationId xmlns:a16="http://schemas.microsoft.com/office/drawing/2014/main" id="{5B5ABD25-6A0C-4985-82F8-5925B5C38C4E}"/>
            </a:ext>
          </a:extLst>
        </xdr:cNvPr>
        <xdr:cNvSpPr txBox="1"/>
      </xdr:nvSpPr>
      <xdr:spPr>
        <a:xfrm>
          <a:off x="9714569" y="1712415"/>
          <a:ext cx="2167759" cy="722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D2FE1F-398B-45CA-9437-A9A8C23D85A2}" type="TxLink">
            <a:rPr lang="en-US" sz="2600" b="0" i="0" u="none" strike="noStrike">
              <a:solidFill>
                <a:srgbClr val="002060"/>
              </a:solidFill>
              <a:latin typeface="Arial Black" panose="020B0A04020102020204" pitchFamily="34" charset="0"/>
              <a:ea typeface="Calibri"/>
              <a:cs typeface="Calibri"/>
            </a:rPr>
            <a:pPr algn="ctr"/>
            <a:t>16.12%</a:t>
          </a:fld>
          <a:endParaRPr lang="en-IN" sz="2600">
            <a:solidFill>
              <a:srgbClr val="002060"/>
            </a:solidFill>
            <a:latin typeface="Arial Black" panose="020B0A04020102020204" pitchFamily="34" charset="0"/>
          </a:endParaRPr>
        </a:p>
      </xdr:txBody>
    </xdr:sp>
    <xdr:clientData/>
  </xdr:twoCellAnchor>
  <xdr:twoCellAnchor>
    <xdr:from>
      <xdr:col>18</xdr:col>
      <xdr:colOff>570569</xdr:colOff>
      <xdr:row>7</xdr:row>
      <xdr:rowOff>57036</xdr:rowOff>
    </xdr:from>
    <xdr:to>
      <xdr:col>22</xdr:col>
      <xdr:colOff>430493</xdr:colOff>
      <xdr:row>9</xdr:row>
      <xdr:rowOff>149002</xdr:rowOff>
    </xdr:to>
    <xdr:sp macro="" textlink="">
      <xdr:nvSpPr>
        <xdr:cNvPr id="95" name="TextBox 94">
          <a:extLst>
            <a:ext uri="{FF2B5EF4-FFF2-40B4-BE49-F238E27FC236}">
              <a16:creationId xmlns:a16="http://schemas.microsoft.com/office/drawing/2014/main" id="{5024DF09-76E9-47E8-8710-F930E6EECB62}"/>
            </a:ext>
          </a:extLst>
        </xdr:cNvPr>
        <xdr:cNvSpPr txBox="1"/>
      </xdr:nvSpPr>
      <xdr:spPr>
        <a:xfrm>
          <a:off x="12394707" y="1436519"/>
          <a:ext cx="2487510" cy="486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200" b="1">
              <a:solidFill>
                <a:srgbClr val="602928"/>
              </a:solidFill>
              <a:latin typeface="Arial Rounded MT Bold" panose="020F0704030504030204" pitchFamily="34" charset="0"/>
            </a:rPr>
            <a:t>Average</a:t>
          </a:r>
          <a:r>
            <a:rPr lang="en-IN" sz="2200" b="1" baseline="0">
              <a:solidFill>
                <a:srgbClr val="602928"/>
              </a:solidFill>
              <a:latin typeface="Arial Rounded MT Bold" panose="020F0704030504030204" pitchFamily="34" charset="0"/>
            </a:rPr>
            <a:t> Age</a:t>
          </a:r>
          <a:endParaRPr lang="en-IN" sz="2200" b="1">
            <a:solidFill>
              <a:srgbClr val="602928"/>
            </a:solidFill>
            <a:latin typeface="Arial Rounded MT Bold" panose="020F0704030504030204" pitchFamily="34" charset="0"/>
          </a:endParaRPr>
        </a:p>
      </xdr:txBody>
    </xdr:sp>
    <xdr:clientData/>
  </xdr:twoCellAnchor>
  <xdr:twoCellAnchor>
    <xdr:from>
      <xdr:col>19</xdr:col>
      <xdr:colOff>23217</xdr:colOff>
      <xdr:row>8</xdr:row>
      <xdr:rowOff>162140</xdr:rowOff>
    </xdr:from>
    <xdr:to>
      <xdr:col>22</xdr:col>
      <xdr:colOff>220286</xdr:colOff>
      <xdr:row>12</xdr:row>
      <xdr:rowOff>96450</xdr:rowOff>
    </xdr:to>
    <xdr:sp macro="" textlink="KPI!C7">
      <xdr:nvSpPr>
        <xdr:cNvPr id="96" name="TextBox 95">
          <a:extLst>
            <a:ext uri="{FF2B5EF4-FFF2-40B4-BE49-F238E27FC236}">
              <a16:creationId xmlns:a16="http://schemas.microsoft.com/office/drawing/2014/main" id="{5472CE69-3EDA-4DEE-8755-B9B237010A29}"/>
            </a:ext>
          </a:extLst>
        </xdr:cNvPr>
        <xdr:cNvSpPr txBox="1"/>
      </xdr:nvSpPr>
      <xdr:spPr>
        <a:xfrm>
          <a:off x="12504251" y="1738692"/>
          <a:ext cx="2167759" cy="722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BA49EB-3CAA-4019-B5FA-6B5741E938B0}" type="TxLink">
            <a:rPr lang="en-US" sz="2600" b="0" i="0" u="none" strike="noStrike">
              <a:solidFill>
                <a:srgbClr val="002060"/>
              </a:solidFill>
              <a:latin typeface="Arial Black" panose="020B0A04020102020204" pitchFamily="34" charset="0"/>
              <a:ea typeface="Calibri"/>
              <a:cs typeface="Calibri"/>
            </a:rPr>
            <a:pPr algn="ctr"/>
            <a:t>37</a:t>
          </a:fld>
          <a:endParaRPr lang="en-IN" sz="2600">
            <a:solidFill>
              <a:srgbClr val="002060"/>
            </a:solidFill>
            <a:latin typeface="Arial Black" panose="020B0A04020102020204" pitchFamily="34" charset="0"/>
          </a:endParaRPr>
        </a:p>
      </xdr:txBody>
    </xdr:sp>
    <xdr:clientData/>
  </xdr:twoCellAnchor>
  <xdr:twoCellAnchor>
    <xdr:from>
      <xdr:col>2</xdr:col>
      <xdr:colOff>249621</xdr:colOff>
      <xdr:row>1</xdr:row>
      <xdr:rowOff>157653</xdr:rowOff>
    </xdr:from>
    <xdr:to>
      <xdr:col>13</xdr:col>
      <xdr:colOff>433552</xdr:colOff>
      <xdr:row>5</xdr:row>
      <xdr:rowOff>170792</xdr:rowOff>
    </xdr:to>
    <xdr:sp macro="" textlink="">
      <xdr:nvSpPr>
        <xdr:cNvPr id="98" name="TextBox 97">
          <a:extLst>
            <a:ext uri="{FF2B5EF4-FFF2-40B4-BE49-F238E27FC236}">
              <a16:creationId xmlns:a16="http://schemas.microsoft.com/office/drawing/2014/main" id="{DD3BA8C7-8E4C-5D2A-5AD9-8B3BE263C1C8}"/>
            </a:ext>
          </a:extLst>
        </xdr:cNvPr>
        <xdr:cNvSpPr txBox="1"/>
      </xdr:nvSpPr>
      <xdr:spPr>
        <a:xfrm>
          <a:off x="1563414" y="354722"/>
          <a:ext cx="7409793" cy="801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900">
              <a:solidFill>
                <a:srgbClr val="002060"/>
              </a:solidFill>
              <a:latin typeface="Arial Rounded MT Bold" panose="020F0704030504030204" pitchFamily="34" charset="0"/>
            </a:rPr>
            <a:t>HR ANALYTICS DASHBOARD</a:t>
          </a:r>
        </a:p>
      </xdr:txBody>
    </xdr:sp>
    <xdr:clientData/>
  </xdr:twoCellAnchor>
  <xdr:twoCellAnchor>
    <xdr:from>
      <xdr:col>14</xdr:col>
      <xdr:colOff>328448</xdr:colOff>
      <xdr:row>1</xdr:row>
      <xdr:rowOff>105104</xdr:rowOff>
    </xdr:from>
    <xdr:to>
      <xdr:col>18</xdr:col>
      <xdr:colOff>65689</xdr:colOff>
      <xdr:row>6</xdr:row>
      <xdr:rowOff>65689</xdr:rowOff>
    </xdr:to>
    <xdr:sp macro="" textlink="">
      <xdr:nvSpPr>
        <xdr:cNvPr id="99" name="TextBox 98">
          <a:extLst>
            <a:ext uri="{FF2B5EF4-FFF2-40B4-BE49-F238E27FC236}">
              <a16:creationId xmlns:a16="http://schemas.microsoft.com/office/drawing/2014/main" id="{AD49F92D-089C-0D5A-5672-7127E12365B2}"/>
            </a:ext>
          </a:extLst>
        </xdr:cNvPr>
        <xdr:cNvSpPr txBox="1"/>
      </xdr:nvSpPr>
      <xdr:spPr>
        <a:xfrm>
          <a:off x="9525000" y="302173"/>
          <a:ext cx="2364827" cy="945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a:solidFill>
                <a:srgbClr val="602928"/>
              </a:solidFill>
              <a:latin typeface="Arial Rounded MT Bold" panose="020F0704030504030204" pitchFamily="34" charset="0"/>
            </a:rPr>
            <a:t>JOB</a:t>
          </a:r>
          <a:r>
            <a:rPr lang="en-IN" sz="1900" baseline="0">
              <a:solidFill>
                <a:srgbClr val="602928"/>
              </a:solidFill>
              <a:latin typeface="Arial Rounded MT Bold" panose="020F0704030504030204" pitchFamily="34" charset="0"/>
            </a:rPr>
            <a:t> </a:t>
          </a:r>
        </a:p>
        <a:p>
          <a:r>
            <a:rPr lang="en-IN" sz="1900" baseline="0">
              <a:solidFill>
                <a:srgbClr val="602928"/>
              </a:solidFill>
              <a:latin typeface="Arial Rounded MT Bold" panose="020F0704030504030204" pitchFamily="34" charset="0"/>
            </a:rPr>
            <a:t>SATISFACTION</a:t>
          </a:r>
        </a:p>
        <a:p>
          <a:r>
            <a:rPr lang="en-IN" sz="1900" baseline="0">
              <a:solidFill>
                <a:srgbClr val="602928"/>
              </a:solidFill>
              <a:latin typeface="Arial Rounded MT Bold" panose="020F0704030504030204" pitchFamily="34" charset="0"/>
            </a:rPr>
            <a:t>RATING</a:t>
          </a:r>
          <a:endParaRPr lang="en-IN" sz="1900">
            <a:solidFill>
              <a:srgbClr val="602928"/>
            </a:solidFill>
            <a:latin typeface="Arial Rounded MT Bold" panose="020F0704030504030204" pitchFamily="34" charset="0"/>
          </a:endParaRPr>
        </a:p>
      </xdr:txBody>
    </xdr:sp>
    <xdr:clientData/>
  </xdr:twoCellAnchor>
  <xdr:twoCellAnchor>
    <xdr:from>
      <xdr:col>16</xdr:col>
      <xdr:colOff>643759</xdr:colOff>
      <xdr:row>1</xdr:row>
      <xdr:rowOff>91965</xdr:rowOff>
    </xdr:from>
    <xdr:to>
      <xdr:col>19</xdr:col>
      <xdr:colOff>238980</xdr:colOff>
      <xdr:row>6</xdr:row>
      <xdr:rowOff>39413</xdr:rowOff>
    </xdr:to>
    <xdr:graphicFrame macro="">
      <xdr:nvGraphicFramePr>
        <xdr:cNvPr id="100" name="Chart 99">
          <a:extLst>
            <a:ext uri="{FF2B5EF4-FFF2-40B4-BE49-F238E27FC236}">
              <a16:creationId xmlns:a16="http://schemas.microsoft.com/office/drawing/2014/main" id="{27C1A0CC-FD24-4E5F-96D1-74065C8D0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512380</xdr:colOff>
      <xdr:row>3</xdr:row>
      <xdr:rowOff>26276</xdr:rowOff>
    </xdr:from>
    <xdr:to>
      <xdr:col>18</xdr:col>
      <xdr:colOff>381000</xdr:colOff>
      <xdr:row>4</xdr:row>
      <xdr:rowOff>131379</xdr:rowOff>
    </xdr:to>
    <xdr:sp macro="" textlink="Rating!$B$6">
      <xdr:nvSpPr>
        <xdr:cNvPr id="101" name="TextBox 100">
          <a:extLst>
            <a:ext uri="{FF2B5EF4-FFF2-40B4-BE49-F238E27FC236}">
              <a16:creationId xmlns:a16="http://schemas.microsoft.com/office/drawing/2014/main" id="{D92FC68D-98E7-5CD9-CAD5-63488C21E84C}"/>
            </a:ext>
          </a:extLst>
        </xdr:cNvPr>
        <xdr:cNvSpPr txBox="1"/>
      </xdr:nvSpPr>
      <xdr:spPr>
        <a:xfrm>
          <a:off x="11679621" y="617483"/>
          <a:ext cx="525517" cy="302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19E755-6BF2-4896-9B7C-027AE607EE2A}" type="TxLink">
            <a:rPr lang="en-US" sz="1200" b="0" i="0" u="none" strike="noStrike">
              <a:solidFill>
                <a:srgbClr val="002060"/>
              </a:solidFill>
              <a:latin typeface="Arial Rounded MT Bold" panose="020F0704030504030204" pitchFamily="34" charset="0"/>
              <a:ea typeface="Calibri"/>
              <a:cs typeface="Calibri"/>
            </a:rPr>
            <a:pPr algn="ctr"/>
            <a:t>2.6</a:t>
          </a:fld>
          <a:endParaRPr lang="en-IN" sz="1100">
            <a:solidFill>
              <a:srgbClr val="002060"/>
            </a:solidFill>
            <a:latin typeface="Arial Rounded MT Bold" panose="020F0704030504030204" pitchFamily="34" charset="0"/>
          </a:endParaRPr>
        </a:p>
      </xdr:txBody>
    </xdr:sp>
    <xdr:clientData/>
  </xdr:twoCellAnchor>
  <xdr:twoCellAnchor>
    <xdr:from>
      <xdr:col>19</xdr:col>
      <xdr:colOff>1</xdr:colOff>
      <xdr:row>2</xdr:row>
      <xdr:rowOff>65690</xdr:rowOff>
    </xdr:from>
    <xdr:to>
      <xdr:col>22</xdr:col>
      <xdr:colOff>236483</xdr:colOff>
      <xdr:row>5</xdr:row>
      <xdr:rowOff>52552</xdr:rowOff>
    </xdr:to>
    <xdr:sp macro="" textlink="">
      <xdr:nvSpPr>
        <xdr:cNvPr id="102" name="Freeform: Shape 101">
          <a:extLst>
            <a:ext uri="{FF2B5EF4-FFF2-40B4-BE49-F238E27FC236}">
              <a16:creationId xmlns:a16="http://schemas.microsoft.com/office/drawing/2014/main" id="{D699B7A7-70F2-0CBE-2E17-72D9175C9CE0}"/>
            </a:ext>
          </a:extLst>
        </xdr:cNvPr>
        <xdr:cNvSpPr/>
      </xdr:nvSpPr>
      <xdr:spPr>
        <a:xfrm>
          <a:off x="12481035" y="459828"/>
          <a:ext cx="2207172" cy="578069"/>
        </a:xfrm>
        <a:custGeom>
          <a:avLst/>
          <a:gdLst>
            <a:gd name="csX0" fmla="*/ 0 w 1901952"/>
            <a:gd name="csY0" fmla="*/ 0 h 438912"/>
            <a:gd name="csX1" fmla="*/ 224872 w 1901952"/>
            <a:gd name="csY1" fmla="*/ 0 h 438912"/>
            <a:gd name="csX2" fmla="*/ 178064 w 1901952"/>
            <a:gd name="csY2" fmla="*/ 151740 h 438912"/>
            <a:gd name="csX3" fmla="*/ 24384 w 1901952"/>
            <a:gd name="csY3" fmla="*/ 151739 h 438912"/>
            <a:gd name="csX4" fmla="*/ 148714 w 1901952"/>
            <a:gd name="csY4" fmla="*/ 246882 h 438912"/>
            <a:gd name="csX5" fmla="*/ 101224 w 1901952"/>
            <a:gd name="csY5" fmla="*/ 400827 h 438912"/>
            <a:gd name="csX6" fmla="*/ 225552 w 1901952"/>
            <a:gd name="csY6" fmla="*/ 305682 h 438912"/>
            <a:gd name="csX7" fmla="*/ 349880 w 1901952"/>
            <a:gd name="csY7" fmla="*/ 400827 h 438912"/>
            <a:gd name="csX8" fmla="*/ 302390 w 1901952"/>
            <a:gd name="csY8" fmla="*/ 246882 h 438912"/>
            <a:gd name="csX9" fmla="*/ 426720 w 1901952"/>
            <a:gd name="csY9" fmla="*/ 151739 h 438912"/>
            <a:gd name="csX10" fmla="*/ 273040 w 1901952"/>
            <a:gd name="csY10" fmla="*/ 151740 h 438912"/>
            <a:gd name="csX11" fmla="*/ 226233 w 1901952"/>
            <a:gd name="csY11" fmla="*/ 0 h 438912"/>
            <a:gd name="csX12" fmla="*/ 705440 w 1901952"/>
            <a:gd name="csY12" fmla="*/ 0 h 438912"/>
            <a:gd name="csX13" fmla="*/ 658632 w 1901952"/>
            <a:gd name="csY13" fmla="*/ 151740 h 438912"/>
            <a:gd name="csX14" fmla="*/ 504952 w 1901952"/>
            <a:gd name="csY14" fmla="*/ 151739 h 438912"/>
            <a:gd name="csX15" fmla="*/ 629282 w 1901952"/>
            <a:gd name="csY15" fmla="*/ 246882 h 438912"/>
            <a:gd name="csX16" fmla="*/ 581792 w 1901952"/>
            <a:gd name="csY16" fmla="*/ 400827 h 438912"/>
            <a:gd name="csX17" fmla="*/ 706120 w 1901952"/>
            <a:gd name="csY17" fmla="*/ 305682 h 438912"/>
            <a:gd name="csX18" fmla="*/ 830448 w 1901952"/>
            <a:gd name="csY18" fmla="*/ 400827 h 438912"/>
            <a:gd name="csX19" fmla="*/ 782958 w 1901952"/>
            <a:gd name="csY19" fmla="*/ 246882 h 438912"/>
            <a:gd name="csX20" fmla="*/ 907288 w 1901952"/>
            <a:gd name="csY20" fmla="*/ 151739 h 438912"/>
            <a:gd name="csX21" fmla="*/ 753608 w 1901952"/>
            <a:gd name="csY21" fmla="*/ 151740 h 438912"/>
            <a:gd name="csX22" fmla="*/ 706801 w 1901952"/>
            <a:gd name="csY22" fmla="*/ 0 h 438912"/>
            <a:gd name="csX23" fmla="*/ 1186008 w 1901952"/>
            <a:gd name="csY23" fmla="*/ 0 h 438912"/>
            <a:gd name="csX24" fmla="*/ 1139200 w 1901952"/>
            <a:gd name="csY24" fmla="*/ 151740 h 438912"/>
            <a:gd name="csX25" fmla="*/ 985520 w 1901952"/>
            <a:gd name="csY25" fmla="*/ 151739 h 438912"/>
            <a:gd name="csX26" fmla="*/ 1109850 w 1901952"/>
            <a:gd name="csY26" fmla="*/ 246882 h 438912"/>
            <a:gd name="csX27" fmla="*/ 1062360 w 1901952"/>
            <a:gd name="csY27" fmla="*/ 400827 h 438912"/>
            <a:gd name="csX28" fmla="*/ 1186688 w 1901952"/>
            <a:gd name="csY28" fmla="*/ 305682 h 438912"/>
            <a:gd name="csX29" fmla="*/ 1311016 w 1901952"/>
            <a:gd name="csY29" fmla="*/ 400827 h 438912"/>
            <a:gd name="csX30" fmla="*/ 1263526 w 1901952"/>
            <a:gd name="csY30" fmla="*/ 246882 h 438912"/>
            <a:gd name="csX31" fmla="*/ 1387856 w 1901952"/>
            <a:gd name="csY31" fmla="*/ 151739 h 438912"/>
            <a:gd name="csX32" fmla="*/ 1234176 w 1901952"/>
            <a:gd name="csY32" fmla="*/ 151740 h 438912"/>
            <a:gd name="csX33" fmla="*/ 1187369 w 1901952"/>
            <a:gd name="csY33" fmla="*/ 0 h 438912"/>
            <a:gd name="csX34" fmla="*/ 1666576 w 1901952"/>
            <a:gd name="csY34" fmla="*/ 0 h 438912"/>
            <a:gd name="csX35" fmla="*/ 1619768 w 1901952"/>
            <a:gd name="csY35" fmla="*/ 151740 h 438912"/>
            <a:gd name="csX36" fmla="*/ 1466088 w 1901952"/>
            <a:gd name="csY36" fmla="*/ 151739 h 438912"/>
            <a:gd name="csX37" fmla="*/ 1590418 w 1901952"/>
            <a:gd name="csY37" fmla="*/ 246882 h 438912"/>
            <a:gd name="csX38" fmla="*/ 1542928 w 1901952"/>
            <a:gd name="csY38" fmla="*/ 400827 h 438912"/>
            <a:gd name="csX39" fmla="*/ 1667256 w 1901952"/>
            <a:gd name="csY39" fmla="*/ 305682 h 438912"/>
            <a:gd name="csX40" fmla="*/ 1791584 w 1901952"/>
            <a:gd name="csY40" fmla="*/ 400827 h 438912"/>
            <a:gd name="csX41" fmla="*/ 1744094 w 1901952"/>
            <a:gd name="csY41" fmla="*/ 246882 h 438912"/>
            <a:gd name="csX42" fmla="*/ 1868424 w 1901952"/>
            <a:gd name="csY42" fmla="*/ 151739 h 438912"/>
            <a:gd name="csX43" fmla="*/ 1714744 w 1901952"/>
            <a:gd name="csY43" fmla="*/ 151740 h 438912"/>
            <a:gd name="csX44" fmla="*/ 1667937 w 1901952"/>
            <a:gd name="csY44" fmla="*/ 0 h 438912"/>
            <a:gd name="csX45" fmla="*/ 1901952 w 1901952"/>
            <a:gd name="csY45" fmla="*/ 0 h 438912"/>
            <a:gd name="csX46" fmla="*/ 1901952 w 1901952"/>
            <a:gd name="csY46" fmla="*/ 438912 h 438912"/>
            <a:gd name="csX47" fmla="*/ 0 w 1901952"/>
            <a:gd name="csY47" fmla="*/ 438912 h 4389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Lst>
          <a:rect l="l" t="t" r="r" b="b"/>
          <a:pathLst>
            <a:path w="1901952" h="438912">
              <a:moveTo>
                <a:pt x="0" y="0"/>
              </a:moveTo>
              <a:lnTo>
                <a:pt x="224872" y="0"/>
              </a:lnTo>
              <a:lnTo>
                <a:pt x="178064" y="151740"/>
              </a:lnTo>
              <a:lnTo>
                <a:pt x="24384" y="151739"/>
              </a:lnTo>
              <a:lnTo>
                <a:pt x="148714" y="246882"/>
              </a:lnTo>
              <a:lnTo>
                <a:pt x="101224" y="400827"/>
              </a:lnTo>
              <a:lnTo>
                <a:pt x="225552" y="305682"/>
              </a:lnTo>
              <a:lnTo>
                <a:pt x="349880" y="400827"/>
              </a:lnTo>
              <a:lnTo>
                <a:pt x="302390" y="246882"/>
              </a:lnTo>
              <a:lnTo>
                <a:pt x="426720" y="151739"/>
              </a:lnTo>
              <a:lnTo>
                <a:pt x="273040" y="151740"/>
              </a:lnTo>
              <a:lnTo>
                <a:pt x="226233" y="0"/>
              </a:lnTo>
              <a:lnTo>
                <a:pt x="705440" y="0"/>
              </a:lnTo>
              <a:lnTo>
                <a:pt x="658632" y="151740"/>
              </a:lnTo>
              <a:lnTo>
                <a:pt x="504952" y="151739"/>
              </a:lnTo>
              <a:lnTo>
                <a:pt x="629282" y="246882"/>
              </a:lnTo>
              <a:lnTo>
                <a:pt x="581792" y="400827"/>
              </a:lnTo>
              <a:lnTo>
                <a:pt x="706120" y="305682"/>
              </a:lnTo>
              <a:lnTo>
                <a:pt x="830448" y="400827"/>
              </a:lnTo>
              <a:lnTo>
                <a:pt x="782958" y="246882"/>
              </a:lnTo>
              <a:lnTo>
                <a:pt x="907288" y="151739"/>
              </a:lnTo>
              <a:lnTo>
                <a:pt x="753608" y="151740"/>
              </a:lnTo>
              <a:lnTo>
                <a:pt x="706801" y="0"/>
              </a:lnTo>
              <a:lnTo>
                <a:pt x="1186008" y="0"/>
              </a:lnTo>
              <a:lnTo>
                <a:pt x="1139200" y="151740"/>
              </a:lnTo>
              <a:lnTo>
                <a:pt x="985520" y="151739"/>
              </a:lnTo>
              <a:lnTo>
                <a:pt x="1109850" y="246882"/>
              </a:lnTo>
              <a:lnTo>
                <a:pt x="1062360" y="400827"/>
              </a:lnTo>
              <a:lnTo>
                <a:pt x="1186688" y="305682"/>
              </a:lnTo>
              <a:lnTo>
                <a:pt x="1311016" y="400827"/>
              </a:lnTo>
              <a:lnTo>
                <a:pt x="1263526" y="246882"/>
              </a:lnTo>
              <a:lnTo>
                <a:pt x="1387856" y="151739"/>
              </a:lnTo>
              <a:lnTo>
                <a:pt x="1234176" y="151740"/>
              </a:lnTo>
              <a:lnTo>
                <a:pt x="1187369" y="0"/>
              </a:lnTo>
              <a:lnTo>
                <a:pt x="1666576" y="0"/>
              </a:lnTo>
              <a:lnTo>
                <a:pt x="1619768" y="151740"/>
              </a:lnTo>
              <a:lnTo>
                <a:pt x="1466088" y="151739"/>
              </a:lnTo>
              <a:lnTo>
                <a:pt x="1590418" y="246882"/>
              </a:lnTo>
              <a:lnTo>
                <a:pt x="1542928" y="400827"/>
              </a:lnTo>
              <a:lnTo>
                <a:pt x="1667256" y="305682"/>
              </a:lnTo>
              <a:lnTo>
                <a:pt x="1791584" y="400827"/>
              </a:lnTo>
              <a:lnTo>
                <a:pt x="1744094" y="246882"/>
              </a:lnTo>
              <a:lnTo>
                <a:pt x="1868424" y="151739"/>
              </a:lnTo>
              <a:lnTo>
                <a:pt x="1714744" y="151740"/>
              </a:lnTo>
              <a:lnTo>
                <a:pt x="1667937" y="0"/>
              </a:lnTo>
              <a:lnTo>
                <a:pt x="1901952" y="0"/>
              </a:lnTo>
              <a:lnTo>
                <a:pt x="1901952" y="438912"/>
              </a:lnTo>
              <a:lnTo>
                <a:pt x="0" y="438912"/>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381000</xdr:colOff>
      <xdr:row>19</xdr:row>
      <xdr:rowOff>85397</xdr:rowOff>
    </xdr:from>
    <xdr:to>
      <xdr:col>7</xdr:col>
      <xdr:colOff>651724</xdr:colOff>
      <xdr:row>26</xdr:row>
      <xdr:rowOff>145914</xdr:rowOff>
    </xdr:to>
    <xdr:grpSp>
      <xdr:nvGrpSpPr>
        <xdr:cNvPr id="14" name="Group 13">
          <a:extLst>
            <a:ext uri="{FF2B5EF4-FFF2-40B4-BE49-F238E27FC236}">
              <a16:creationId xmlns:a16="http://schemas.microsoft.com/office/drawing/2014/main" id="{F6A997BC-B264-A806-5392-DB07C2B80E71}"/>
            </a:ext>
          </a:extLst>
        </xdr:cNvPr>
        <xdr:cNvGrpSpPr/>
      </xdr:nvGrpSpPr>
      <xdr:grpSpPr>
        <a:xfrm>
          <a:off x="1037897" y="3829707"/>
          <a:ext cx="4212103" cy="1440000"/>
          <a:chOff x="1064173" y="4131880"/>
          <a:chExt cx="4212103" cy="1440000"/>
        </a:xfrm>
      </xdr:grpSpPr>
      <xdr:graphicFrame macro="">
        <xdr:nvGraphicFramePr>
          <xdr:cNvPr id="6" name="Chart 5">
            <a:extLst>
              <a:ext uri="{FF2B5EF4-FFF2-40B4-BE49-F238E27FC236}">
                <a16:creationId xmlns:a16="http://schemas.microsoft.com/office/drawing/2014/main" id="{495D518C-52B0-4410-A3B0-EB6D0BC200B1}"/>
              </a:ext>
            </a:extLst>
          </xdr:cNvPr>
          <xdr:cNvGraphicFramePr>
            <a:graphicFrameLocks/>
          </xdr:cNvGraphicFramePr>
        </xdr:nvGraphicFramePr>
        <xdr:xfrm>
          <a:off x="1064173" y="4131880"/>
          <a:ext cx="1440000" cy="1440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1A525173-19D1-4296-96C5-8FEF5541DAD2}"/>
              </a:ext>
            </a:extLst>
          </xdr:cNvPr>
          <xdr:cNvGraphicFramePr>
            <a:graphicFrameLocks/>
          </xdr:cNvGraphicFramePr>
        </xdr:nvGraphicFramePr>
        <xdr:xfrm>
          <a:off x="3836276" y="4131880"/>
          <a:ext cx="1440000" cy="1440000"/>
        </xdr:xfrm>
        <a:graphic>
          <a:graphicData uri="http://schemas.openxmlformats.org/drawingml/2006/chart">
            <c:chart xmlns:c="http://schemas.openxmlformats.org/drawingml/2006/chart" xmlns:r="http://schemas.openxmlformats.org/officeDocument/2006/relationships" r:id="rId4"/>
          </a:graphicData>
        </a:graphic>
      </xdr:graphicFrame>
      <xdr:pic>
        <xdr:nvPicPr>
          <xdr:cNvPr id="9" name="Graphic 8" descr="Male profile with solid fill">
            <a:extLst>
              <a:ext uri="{FF2B5EF4-FFF2-40B4-BE49-F238E27FC236}">
                <a16:creationId xmlns:a16="http://schemas.microsoft.com/office/drawing/2014/main" id="{4C9C9359-8B62-8C80-E937-E66A7FF2961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97620" y="4463068"/>
            <a:ext cx="720000" cy="720000"/>
          </a:xfrm>
          <a:prstGeom prst="rect">
            <a:avLst/>
          </a:prstGeom>
        </xdr:spPr>
      </xdr:pic>
      <xdr:pic>
        <xdr:nvPicPr>
          <xdr:cNvPr id="11" name="Graphic 10" descr="Female Profile with solid fill">
            <a:extLst>
              <a:ext uri="{FF2B5EF4-FFF2-40B4-BE49-F238E27FC236}">
                <a16:creationId xmlns:a16="http://schemas.microsoft.com/office/drawing/2014/main" id="{4E1A4AEA-ED7E-868C-D75F-37CFB43039F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357171" y="4463068"/>
            <a:ext cx="720000" cy="720000"/>
          </a:xfrm>
          <a:prstGeom prst="rect">
            <a:avLst/>
          </a:prstGeom>
        </xdr:spPr>
      </xdr:pic>
      <xdr:sp macro="" textlink="Gender!$B$8">
        <xdr:nvSpPr>
          <xdr:cNvPr id="12" name="TextBox 11">
            <a:extLst>
              <a:ext uri="{FF2B5EF4-FFF2-40B4-BE49-F238E27FC236}">
                <a16:creationId xmlns:a16="http://schemas.microsoft.com/office/drawing/2014/main" id="{C5341024-7D0F-4E30-88E3-0F8B3B7DD7D6}"/>
              </a:ext>
            </a:extLst>
          </xdr:cNvPr>
          <xdr:cNvSpPr txBox="1"/>
        </xdr:nvSpPr>
        <xdr:spPr>
          <a:xfrm>
            <a:off x="1300655" y="4598276"/>
            <a:ext cx="972207" cy="486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D211CC-F01D-4E8C-B158-EEAA1C08CB8C}" type="TxLink">
              <a:rPr lang="en-US" sz="2000" b="0" i="0" u="none" strike="noStrike">
                <a:solidFill>
                  <a:srgbClr val="002060"/>
                </a:solidFill>
                <a:latin typeface="Arial Black" panose="020B0A04020102020204" pitchFamily="34" charset="0"/>
                <a:ea typeface="Calibri"/>
                <a:cs typeface="Calibri"/>
              </a:rPr>
              <a:t>588</a:t>
            </a:fld>
            <a:endParaRPr lang="en-IN" sz="2000">
              <a:solidFill>
                <a:srgbClr val="002060"/>
              </a:solidFill>
              <a:latin typeface="Arial Black" panose="020B0A04020102020204" pitchFamily="34" charset="0"/>
            </a:endParaRPr>
          </a:p>
        </xdr:txBody>
      </xdr:sp>
      <xdr:sp macro="" textlink="Gender!$B$9">
        <xdr:nvSpPr>
          <xdr:cNvPr id="13" name="TextBox 12">
            <a:extLst>
              <a:ext uri="{FF2B5EF4-FFF2-40B4-BE49-F238E27FC236}">
                <a16:creationId xmlns:a16="http://schemas.microsoft.com/office/drawing/2014/main" id="{9AB3105F-F625-41BC-875E-03956C95CCCD}"/>
              </a:ext>
            </a:extLst>
          </xdr:cNvPr>
          <xdr:cNvSpPr txBox="1"/>
        </xdr:nvSpPr>
        <xdr:spPr>
          <a:xfrm>
            <a:off x="4085896" y="4572001"/>
            <a:ext cx="972207" cy="604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30435C-BBE9-42C4-A6AC-D0D91788DF7C}" type="TxLink">
              <a:rPr lang="en-US" sz="2000" b="0" i="0" u="none" strike="noStrike">
                <a:solidFill>
                  <a:srgbClr val="002060"/>
                </a:solidFill>
                <a:latin typeface="Arial Black" panose="020B0A04020102020204" pitchFamily="34" charset="0"/>
                <a:ea typeface="Calibri"/>
                <a:cs typeface="Calibri"/>
              </a:rPr>
              <a:t>882</a:t>
            </a:fld>
            <a:endParaRPr lang="en-IN" sz="2000">
              <a:solidFill>
                <a:srgbClr val="002060"/>
              </a:solidFill>
              <a:latin typeface="Arial Black" panose="020B0A04020102020204" pitchFamily="34" charset="0"/>
            </a:endParaRPr>
          </a:p>
        </xdr:txBody>
      </xdr:sp>
    </xdr:grpSp>
    <xdr:clientData/>
  </xdr:twoCellAnchor>
  <xdr:twoCellAnchor>
    <xdr:from>
      <xdr:col>2</xdr:col>
      <xdr:colOff>39413</xdr:colOff>
      <xdr:row>13</xdr:row>
      <xdr:rowOff>26275</xdr:rowOff>
    </xdr:from>
    <xdr:to>
      <xdr:col>7</xdr:col>
      <xdr:colOff>420413</xdr:colOff>
      <xdr:row>14</xdr:row>
      <xdr:rowOff>170793</xdr:rowOff>
    </xdr:to>
    <xdr:sp macro="" textlink="">
      <xdr:nvSpPr>
        <xdr:cNvPr id="15" name="TextBox 14">
          <a:extLst>
            <a:ext uri="{FF2B5EF4-FFF2-40B4-BE49-F238E27FC236}">
              <a16:creationId xmlns:a16="http://schemas.microsoft.com/office/drawing/2014/main" id="{389FD09D-7713-7B5E-F257-79C87A2B2675}"/>
            </a:ext>
          </a:extLst>
        </xdr:cNvPr>
        <xdr:cNvSpPr txBox="1"/>
      </xdr:nvSpPr>
      <xdr:spPr>
        <a:xfrm>
          <a:off x="1353206" y="2588172"/>
          <a:ext cx="3665483" cy="341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b="1">
              <a:solidFill>
                <a:srgbClr val="602928"/>
              </a:solidFill>
              <a:latin typeface="Arial Rounded MT Bold" panose="020F0704030504030204" pitchFamily="34" charset="0"/>
            </a:rPr>
            <a:t>Total Employees by Gender</a:t>
          </a:r>
        </a:p>
      </xdr:txBody>
    </xdr:sp>
    <xdr:clientData/>
  </xdr:twoCellAnchor>
  <xdr:twoCellAnchor editAs="oneCell">
    <xdr:from>
      <xdr:col>3</xdr:col>
      <xdr:colOff>302172</xdr:colOff>
      <xdr:row>16</xdr:row>
      <xdr:rowOff>118241</xdr:rowOff>
    </xdr:from>
    <xdr:to>
      <xdr:col>6</xdr:col>
      <xdr:colOff>160283</xdr:colOff>
      <xdr:row>20</xdr:row>
      <xdr:rowOff>13138</xdr:rowOff>
    </xdr:to>
    <mc:AlternateContent xmlns:mc="http://schemas.openxmlformats.org/markup-compatibility/2006">
      <mc:Choice xmlns:a14="http://schemas.microsoft.com/office/drawing/2010/main" Requires="a14">
        <xdr:graphicFrame macro="">
          <xdr:nvGraphicFramePr>
            <xdr:cNvPr id="16" name="Gender 3">
              <a:extLst>
                <a:ext uri="{FF2B5EF4-FFF2-40B4-BE49-F238E27FC236}">
                  <a16:creationId xmlns:a16="http://schemas.microsoft.com/office/drawing/2014/main" id="{0F6E637C-6017-4E6F-8FF3-77D1566F62C9}"/>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2272862" y="3271344"/>
              <a:ext cx="1828800" cy="683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262759</xdr:colOff>
      <xdr:row>15</xdr:row>
      <xdr:rowOff>118241</xdr:rowOff>
    </xdr:from>
    <xdr:to>
      <xdr:col>15</xdr:col>
      <xdr:colOff>236483</xdr:colOff>
      <xdr:row>28</xdr:row>
      <xdr:rowOff>118241</xdr:rowOff>
    </xdr:to>
    <xdr:graphicFrame macro="">
      <xdr:nvGraphicFramePr>
        <xdr:cNvPr id="17" name="Chart 16">
          <a:extLst>
            <a:ext uri="{FF2B5EF4-FFF2-40B4-BE49-F238E27FC236}">
              <a16:creationId xmlns:a16="http://schemas.microsoft.com/office/drawing/2014/main" id="{6C140BAB-7E79-4B60-8C32-1B05B4D09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323193</xdr:colOff>
      <xdr:row>13</xdr:row>
      <xdr:rowOff>60434</xdr:rowOff>
    </xdr:from>
    <xdr:to>
      <xdr:col>14</xdr:col>
      <xdr:colOff>47296</xdr:colOff>
      <xdr:row>15</xdr:row>
      <xdr:rowOff>7884</xdr:rowOff>
    </xdr:to>
    <xdr:sp macro="" textlink="">
      <xdr:nvSpPr>
        <xdr:cNvPr id="19" name="TextBox 18">
          <a:extLst>
            <a:ext uri="{FF2B5EF4-FFF2-40B4-BE49-F238E27FC236}">
              <a16:creationId xmlns:a16="http://schemas.microsoft.com/office/drawing/2014/main" id="{DD3A48E1-6998-49D5-B51D-2D9DB17920EB}"/>
            </a:ext>
          </a:extLst>
        </xdr:cNvPr>
        <xdr:cNvSpPr txBox="1"/>
      </xdr:nvSpPr>
      <xdr:spPr>
        <a:xfrm>
          <a:off x="5578365" y="2622331"/>
          <a:ext cx="3665483" cy="341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b="1">
              <a:solidFill>
                <a:srgbClr val="602928"/>
              </a:solidFill>
              <a:latin typeface="Arial Rounded MT Bold" panose="020F0704030504030204" pitchFamily="34" charset="0"/>
            </a:rPr>
            <a:t>Education</a:t>
          </a:r>
          <a:r>
            <a:rPr lang="en-IN" sz="1900" b="1" baseline="0">
              <a:solidFill>
                <a:srgbClr val="602928"/>
              </a:solidFill>
              <a:latin typeface="Arial Rounded MT Bold" panose="020F0704030504030204" pitchFamily="34" charset="0"/>
            </a:rPr>
            <a:t> wise Attrition</a:t>
          </a:r>
          <a:endParaRPr lang="en-IN" sz="1900" b="1">
            <a:solidFill>
              <a:srgbClr val="602928"/>
            </a:solidFill>
            <a:latin typeface="Arial Rounded MT Bold" panose="020F0704030504030204" pitchFamily="34" charset="0"/>
          </a:endParaRPr>
        </a:p>
      </xdr:txBody>
    </xdr:sp>
    <xdr:clientData/>
  </xdr:twoCellAnchor>
  <xdr:twoCellAnchor>
    <xdr:from>
      <xdr:col>15</xdr:col>
      <xdr:colOff>538655</xdr:colOff>
      <xdr:row>15</xdr:row>
      <xdr:rowOff>78828</xdr:rowOff>
    </xdr:from>
    <xdr:to>
      <xdr:col>22</xdr:col>
      <xdr:colOff>433552</xdr:colOff>
      <xdr:row>28</xdr:row>
      <xdr:rowOff>91966</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E3579BCB-E550-4656-99E6-626008E702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392103" y="3034862"/>
              <a:ext cx="4493173" cy="25750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68316</xdr:colOff>
      <xdr:row>13</xdr:row>
      <xdr:rowOff>28903</xdr:rowOff>
    </xdr:from>
    <xdr:to>
      <xdr:col>21</xdr:col>
      <xdr:colOff>449316</xdr:colOff>
      <xdr:row>14</xdr:row>
      <xdr:rowOff>173421</xdr:rowOff>
    </xdr:to>
    <xdr:sp macro="" textlink="">
      <xdr:nvSpPr>
        <xdr:cNvPr id="21" name="TextBox 20">
          <a:extLst>
            <a:ext uri="{FF2B5EF4-FFF2-40B4-BE49-F238E27FC236}">
              <a16:creationId xmlns:a16="http://schemas.microsoft.com/office/drawing/2014/main" id="{7D21457E-C3D4-49E7-BFE0-0B7478C1618B}"/>
            </a:ext>
          </a:extLst>
        </xdr:cNvPr>
        <xdr:cNvSpPr txBox="1"/>
      </xdr:nvSpPr>
      <xdr:spPr>
        <a:xfrm>
          <a:off x="10578661" y="2590800"/>
          <a:ext cx="3665483" cy="341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b="1">
              <a:solidFill>
                <a:srgbClr val="602928"/>
              </a:solidFill>
              <a:latin typeface="Arial Rounded MT Bold" panose="020F0704030504030204" pitchFamily="34" charset="0"/>
            </a:rPr>
            <a:t>Attrition</a:t>
          </a:r>
          <a:r>
            <a:rPr lang="en-IN" sz="1900" b="1" baseline="0">
              <a:solidFill>
                <a:srgbClr val="602928"/>
              </a:solidFill>
              <a:latin typeface="Arial Rounded MT Bold" panose="020F0704030504030204" pitchFamily="34" charset="0"/>
            </a:rPr>
            <a:t> by Job Role</a:t>
          </a:r>
          <a:endParaRPr lang="en-IN" sz="1900" b="1">
            <a:solidFill>
              <a:srgbClr val="602928"/>
            </a:solidFill>
            <a:latin typeface="Arial Rounded MT Bold" panose="020F0704030504030204" pitchFamily="34" charset="0"/>
          </a:endParaRPr>
        </a:p>
      </xdr:txBody>
    </xdr:sp>
    <xdr:clientData/>
  </xdr:twoCellAnchor>
  <xdr:twoCellAnchor>
    <xdr:from>
      <xdr:col>1</xdr:col>
      <xdr:colOff>512378</xdr:colOff>
      <xdr:row>31</xdr:row>
      <xdr:rowOff>78828</xdr:rowOff>
    </xdr:from>
    <xdr:to>
      <xdr:col>7</xdr:col>
      <xdr:colOff>525517</xdr:colOff>
      <xdr:row>43</xdr:row>
      <xdr:rowOff>183931</xdr:rowOff>
    </xdr:to>
    <xdr:graphicFrame macro="">
      <xdr:nvGraphicFramePr>
        <xdr:cNvPr id="22" name="Chart 21">
          <a:extLst>
            <a:ext uri="{FF2B5EF4-FFF2-40B4-BE49-F238E27FC236}">
              <a16:creationId xmlns:a16="http://schemas.microsoft.com/office/drawing/2014/main" id="{3A81C5F9-0CB5-40E7-A217-6AABECEB4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36786</xdr:colOff>
      <xdr:row>29</xdr:row>
      <xdr:rowOff>76200</xdr:rowOff>
    </xdr:from>
    <xdr:to>
      <xdr:col>7</xdr:col>
      <xdr:colOff>417786</xdr:colOff>
      <xdr:row>31</xdr:row>
      <xdr:rowOff>23649</xdr:rowOff>
    </xdr:to>
    <xdr:sp macro="" textlink="">
      <xdr:nvSpPr>
        <xdr:cNvPr id="23" name="TextBox 22">
          <a:extLst>
            <a:ext uri="{FF2B5EF4-FFF2-40B4-BE49-F238E27FC236}">
              <a16:creationId xmlns:a16="http://schemas.microsoft.com/office/drawing/2014/main" id="{B8CE6226-C258-4D0E-8083-17367D78C92E}"/>
            </a:ext>
          </a:extLst>
        </xdr:cNvPr>
        <xdr:cNvSpPr txBox="1"/>
      </xdr:nvSpPr>
      <xdr:spPr>
        <a:xfrm>
          <a:off x="1350579" y="5791200"/>
          <a:ext cx="3665483" cy="341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b="1">
              <a:solidFill>
                <a:srgbClr val="602928"/>
              </a:solidFill>
              <a:latin typeface="Arial Rounded MT Bold" panose="020F0704030504030204" pitchFamily="34" charset="0"/>
            </a:rPr>
            <a:t>Department</a:t>
          </a:r>
          <a:r>
            <a:rPr lang="en-IN" sz="1900" b="1" baseline="0">
              <a:solidFill>
                <a:srgbClr val="602928"/>
              </a:solidFill>
              <a:latin typeface="Arial Rounded MT Bold" panose="020F0704030504030204" pitchFamily="34" charset="0"/>
            </a:rPr>
            <a:t> wise Attrition</a:t>
          </a:r>
          <a:endParaRPr lang="en-IN" sz="1900" b="1">
            <a:solidFill>
              <a:srgbClr val="602928"/>
            </a:solidFill>
            <a:latin typeface="Arial Rounded MT Bold" panose="020F0704030504030204" pitchFamily="34" charset="0"/>
          </a:endParaRPr>
        </a:p>
      </xdr:txBody>
    </xdr:sp>
    <xdr:clientData/>
  </xdr:twoCellAnchor>
  <xdr:twoCellAnchor>
    <xdr:from>
      <xdr:col>8</xdr:col>
      <xdr:colOff>26276</xdr:colOff>
      <xdr:row>31</xdr:row>
      <xdr:rowOff>144516</xdr:rowOff>
    </xdr:from>
    <xdr:to>
      <xdr:col>13</xdr:col>
      <xdr:colOff>354724</xdr:colOff>
      <xdr:row>44</xdr:row>
      <xdr:rowOff>13137</xdr:rowOff>
    </xdr:to>
    <xdr:graphicFrame macro="">
      <xdr:nvGraphicFramePr>
        <xdr:cNvPr id="24" name="Chart 23">
          <a:extLst>
            <a:ext uri="{FF2B5EF4-FFF2-40B4-BE49-F238E27FC236}">
              <a16:creationId xmlns:a16="http://schemas.microsoft.com/office/drawing/2014/main" id="{4EEDF96F-D085-475B-884F-7E2BCCB82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136634</xdr:colOff>
      <xdr:row>29</xdr:row>
      <xdr:rowOff>84083</xdr:rowOff>
    </xdr:from>
    <xdr:to>
      <xdr:col>13</xdr:col>
      <xdr:colOff>517634</xdr:colOff>
      <xdr:row>31</xdr:row>
      <xdr:rowOff>31532</xdr:rowOff>
    </xdr:to>
    <xdr:sp macro="" textlink="">
      <xdr:nvSpPr>
        <xdr:cNvPr id="25" name="TextBox 24">
          <a:extLst>
            <a:ext uri="{FF2B5EF4-FFF2-40B4-BE49-F238E27FC236}">
              <a16:creationId xmlns:a16="http://schemas.microsoft.com/office/drawing/2014/main" id="{66CBDAE7-068C-492B-93EA-B05E4A94EB2C}"/>
            </a:ext>
          </a:extLst>
        </xdr:cNvPr>
        <xdr:cNvSpPr txBox="1"/>
      </xdr:nvSpPr>
      <xdr:spPr>
        <a:xfrm>
          <a:off x="5391806" y="5799083"/>
          <a:ext cx="3665483" cy="341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b="1">
              <a:solidFill>
                <a:srgbClr val="602928"/>
              </a:solidFill>
              <a:latin typeface="Arial Rounded MT Bold" panose="020F0704030504030204" pitchFamily="34" charset="0"/>
            </a:rPr>
            <a:t>Age</a:t>
          </a:r>
          <a:r>
            <a:rPr lang="en-IN" sz="1900" b="1" baseline="0">
              <a:solidFill>
                <a:srgbClr val="602928"/>
              </a:solidFill>
              <a:latin typeface="Arial Rounded MT Bold" panose="020F0704030504030204" pitchFamily="34" charset="0"/>
            </a:rPr>
            <a:t> wise Attrition Group</a:t>
          </a:r>
          <a:endParaRPr lang="en-IN" sz="1900" b="1">
            <a:solidFill>
              <a:srgbClr val="602928"/>
            </a:solidFill>
            <a:latin typeface="Arial Rounded MT Bold" panose="020F0704030504030204" pitchFamily="34" charset="0"/>
          </a:endParaRPr>
        </a:p>
      </xdr:txBody>
    </xdr:sp>
    <xdr:clientData/>
  </xdr:twoCellAnchor>
  <xdr:twoCellAnchor>
    <xdr:from>
      <xdr:col>13</xdr:col>
      <xdr:colOff>564931</xdr:colOff>
      <xdr:row>31</xdr:row>
      <xdr:rowOff>118241</xdr:rowOff>
    </xdr:from>
    <xdr:to>
      <xdr:col>18</xdr:col>
      <xdr:colOff>144517</xdr:colOff>
      <xdr:row>44</xdr:row>
      <xdr:rowOff>13138</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B9E094B3-C7A9-4201-8910-4DE3EEAE8C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9104586" y="6227379"/>
              <a:ext cx="2864069" cy="24567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643760</xdr:colOff>
      <xdr:row>29</xdr:row>
      <xdr:rowOff>91966</xdr:rowOff>
    </xdr:from>
    <xdr:to>
      <xdr:col>18</xdr:col>
      <xdr:colOff>604345</xdr:colOff>
      <xdr:row>31</xdr:row>
      <xdr:rowOff>52552</xdr:rowOff>
    </xdr:to>
    <xdr:sp macro="" textlink="">
      <xdr:nvSpPr>
        <xdr:cNvPr id="27" name="TextBox 26">
          <a:extLst>
            <a:ext uri="{FF2B5EF4-FFF2-40B4-BE49-F238E27FC236}">
              <a16:creationId xmlns:a16="http://schemas.microsoft.com/office/drawing/2014/main" id="{11D4BC86-1832-44C9-8CBE-1F794AA3CFF4}"/>
            </a:ext>
          </a:extLst>
        </xdr:cNvPr>
        <xdr:cNvSpPr txBox="1"/>
      </xdr:nvSpPr>
      <xdr:spPr>
        <a:xfrm>
          <a:off x="9183415" y="5806966"/>
          <a:ext cx="3245068" cy="354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Arial Rounded MT Bold" panose="020F0704030504030204" pitchFamily="34" charset="0"/>
            </a:rPr>
            <a:t>Attrition</a:t>
          </a:r>
          <a:r>
            <a:rPr lang="en-IN" sz="1600" b="1" baseline="0">
              <a:solidFill>
                <a:srgbClr val="602928"/>
              </a:solidFill>
              <a:latin typeface="Arial Rounded MT Bold" panose="020F0704030504030204" pitchFamily="34" charset="0"/>
            </a:rPr>
            <a:t> by Marital Status</a:t>
          </a:r>
          <a:endParaRPr lang="en-IN" sz="1600" b="1">
            <a:solidFill>
              <a:srgbClr val="602928"/>
            </a:solidFill>
            <a:latin typeface="Arial Rounded MT Bold" panose="020F0704030504030204" pitchFamily="34" charset="0"/>
          </a:endParaRPr>
        </a:p>
      </xdr:txBody>
    </xdr:sp>
    <xdr:clientData/>
  </xdr:twoCellAnchor>
  <xdr:twoCellAnchor editAs="oneCell">
    <xdr:from>
      <xdr:col>21</xdr:col>
      <xdr:colOff>91964</xdr:colOff>
      <xdr:row>32</xdr:row>
      <xdr:rowOff>39415</xdr:rowOff>
    </xdr:from>
    <xdr:to>
      <xdr:col>22</xdr:col>
      <xdr:colOff>446690</xdr:colOff>
      <xdr:row>42</xdr:row>
      <xdr:rowOff>118241</xdr:rowOff>
    </xdr:to>
    <mc:AlternateContent xmlns:mc="http://schemas.openxmlformats.org/markup-compatibility/2006">
      <mc:Choice xmlns:a14="http://schemas.microsoft.com/office/drawing/2010/main" Requires="a14">
        <xdr:graphicFrame macro="">
          <xdr:nvGraphicFramePr>
            <xdr:cNvPr id="28" name="Department 1">
              <a:extLst>
                <a:ext uri="{FF2B5EF4-FFF2-40B4-BE49-F238E27FC236}">
                  <a16:creationId xmlns:a16="http://schemas.microsoft.com/office/drawing/2014/main" id="{4892E96B-52E0-4BC9-AAB5-AFEE2CBDB2C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886792" y="6345622"/>
              <a:ext cx="1011622" cy="2049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310055</xdr:colOff>
      <xdr:row>32</xdr:row>
      <xdr:rowOff>47296</xdr:rowOff>
    </xdr:from>
    <xdr:to>
      <xdr:col>21</xdr:col>
      <xdr:colOff>78827</xdr:colOff>
      <xdr:row>42</xdr:row>
      <xdr:rowOff>144517</xdr:rowOff>
    </xdr:to>
    <mc:AlternateContent xmlns:mc="http://schemas.openxmlformats.org/markup-compatibility/2006">
      <mc:Choice xmlns:a14="http://schemas.microsoft.com/office/drawing/2010/main" Requires="a14">
        <xdr:graphicFrame macro="">
          <xdr:nvGraphicFramePr>
            <xdr:cNvPr id="29" name="Education Field 3">
              <a:extLst>
                <a:ext uri="{FF2B5EF4-FFF2-40B4-BE49-F238E27FC236}">
                  <a16:creationId xmlns:a16="http://schemas.microsoft.com/office/drawing/2014/main" id="{4A7D649A-90D2-4A12-BDF3-D3118C86023E}"/>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2134193" y="6353503"/>
              <a:ext cx="1739462" cy="2067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275896</xdr:colOff>
      <xdr:row>31</xdr:row>
      <xdr:rowOff>52551</xdr:rowOff>
    </xdr:from>
    <xdr:to>
      <xdr:col>20</xdr:col>
      <xdr:colOff>604344</xdr:colOff>
      <xdr:row>32</xdr:row>
      <xdr:rowOff>52551</xdr:rowOff>
    </xdr:to>
    <xdr:sp macro="" textlink="">
      <xdr:nvSpPr>
        <xdr:cNvPr id="32" name="TextBox 31">
          <a:extLst>
            <a:ext uri="{FF2B5EF4-FFF2-40B4-BE49-F238E27FC236}">
              <a16:creationId xmlns:a16="http://schemas.microsoft.com/office/drawing/2014/main" id="{B0F33970-DCD6-EA29-1FF4-A0B5A0550F87}"/>
            </a:ext>
          </a:extLst>
        </xdr:cNvPr>
        <xdr:cNvSpPr txBox="1"/>
      </xdr:nvSpPr>
      <xdr:spPr>
        <a:xfrm>
          <a:off x="12100034" y="6161689"/>
          <a:ext cx="1642241" cy="1970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lumMod val="50000"/>
                </a:schemeClr>
              </a:solidFill>
              <a:latin typeface="Arial Rounded MT Bold" panose="020F0704030504030204" pitchFamily="34" charset="0"/>
            </a:rPr>
            <a:t>Education field</a:t>
          </a:r>
        </a:p>
      </xdr:txBody>
    </xdr:sp>
    <xdr:clientData/>
  </xdr:twoCellAnchor>
  <xdr:twoCellAnchor>
    <xdr:from>
      <xdr:col>20</xdr:col>
      <xdr:colOff>625366</xdr:colOff>
      <xdr:row>31</xdr:row>
      <xdr:rowOff>52551</xdr:rowOff>
    </xdr:from>
    <xdr:to>
      <xdr:col>22</xdr:col>
      <xdr:colOff>446691</xdr:colOff>
      <xdr:row>32</xdr:row>
      <xdr:rowOff>52551</xdr:rowOff>
    </xdr:to>
    <xdr:sp macro="" textlink="">
      <xdr:nvSpPr>
        <xdr:cNvPr id="33" name="TextBox 32">
          <a:extLst>
            <a:ext uri="{FF2B5EF4-FFF2-40B4-BE49-F238E27FC236}">
              <a16:creationId xmlns:a16="http://schemas.microsoft.com/office/drawing/2014/main" id="{B719C813-6B0B-48D9-9DF1-1B705D9F6905}"/>
            </a:ext>
          </a:extLst>
        </xdr:cNvPr>
        <xdr:cNvSpPr txBox="1"/>
      </xdr:nvSpPr>
      <xdr:spPr>
        <a:xfrm>
          <a:off x="13763297" y="6161689"/>
          <a:ext cx="1135118" cy="1970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lumMod val="50000"/>
                </a:schemeClr>
              </a:solidFill>
              <a:latin typeface="Arial Rounded MT Bold" panose="020F0704030504030204" pitchFamily="34" charset="0"/>
            </a:rPr>
            <a:t>Department</a:t>
          </a: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eez nazar" refreshedDate="46189.84566053241" createdVersion="8" refreshedVersion="8" minRefreshableVersion="3" recordCount="1470" xr:uid="{7ADD2B9F-1E79-458E-A30A-643376B8FC6E}">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22115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x v="0"/>
    <x v="0"/>
    <x v="0"/>
    <x v="0"/>
    <x v="0"/>
    <s v="Yes"/>
    <s v="Y"/>
    <n v="0"/>
    <n v="-2"/>
    <n v="0"/>
    <n v="41"/>
    <n v="1"/>
    <n v="1"/>
    <n v="1"/>
    <n v="0"/>
    <n v="1102"/>
    <n v="1"/>
    <x v="0"/>
    <n v="1"/>
    <n v="2"/>
    <n v="94"/>
    <n v="3"/>
    <n v="2"/>
    <n v="4"/>
    <n v="5993"/>
    <n v="19479"/>
    <n v="8"/>
    <n v="11"/>
    <n v="3"/>
    <n v="1"/>
    <n v="80"/>
    <n v="0"/>
    <n v="8"/>
    <n v="1"/>
    <n v="6"/>
    <n v="4"/>
    <n v="0"/>
    <n v="5"/>
  </r>
  <r>
    <s v="No"/>
    <s v="Travel_Frequently"/>
    <x v="1"/>
    <s v="Current Employees"/>
    <x v="1"/>
    <x v="0"/>
    <x v="1"/>
    <x v="1"/>
    <x v="1"/>
    <x v="1"/>
    <x v="1"/>
    <s v="No"/>
    <s v="Y"/>
    <n v="3"/>
    <n v="-2"/>
    <n v="0"/>
    <n v="49"/>
    <n v="0"/>
    <m/>
    <n v="0"/>
    <n v="1"/>
    <n v="279"/>
    <n v="8"/>
    <x v="1"/>
    <n v="1"/>
    <n v="3"/>
    <n v="61"/>
    <n v="2"/>
    <n v="2"/>
    <n v="2"/>
    <n v="5130"/>
    <n v="24907"/>
    <n v="1"/>
    <n v="23"/>
    <n v="4"/>
    <n v="4"/>
    <n v="80"/>
    <n v="1"/>
    <n v="10"/>
    <n v="3"/>
    <n v="10"/>
    <n v="7"/>
    <n v="1"/>
    <n v="7"/>
  </r>
  <r>
    <s v="Yes"/>
    <s v="Travel_Rarely"/>
    <x v="0"/>
    <s v="Ex-Employees"/>
    <x v="1"/>
    <x v="1"/>
    <x v="2"/>
    <x v="2"/>
    <x v="1"/>
    <x v="2"/>
    <x v="0"/>
    <s v="Yes"/>
    <s v="Y"/>
    <n v="3"/>
    <n v="-2"/>
    <n v="0"/>
    <n v="37"/>
    <n v="1"/>
    <n v="1"/>
    <n v="1"/>
    <n v="0"/>
    <n v="1373"/>
    <n v="2"/>
    <x v="0"/>
    <n v="1"/>
    <n v="4"/>
    <n v="92"/>
    <n v="2"/>
    <n v="1"/>
    <n v="3"/>
    <n v="2090"/>
    <n v="2396"/>
    <n v="6"/>
    <n v="15"/>
    <n v="3"/>
    <n v="2"/>
    <n v="80"/>
    <n v="0"/>
    <n v="7"/>
    <n v="3"/>
    <n v="0"/>
    <n v="0"/>
    <n v="0"/>
    <n v="0"/>
  </r>
  <r>
    <s v="No"/>
    <s v="Travel_Frequently"/>
    <x v="2"/>
    <s v="Current Employees"/>
    <x v="1"/>
    <x v="0"/>
    <x v="3"/>
    <x v="3"/>
    <x v="0"/>
    <x v="1"/>
    <x v="1"/>
    <s v="Yes"/>
    <s v="Y"/>
    <n v="3"/>
    <n v="-2"/>
    <n v="0"/>
    <n v="33"/>
    <n v="0"/>
    <m/>
    <n v="0"/>
    <n v="1"/>
    <n v="1392"/>
    <n v="3"/>
    <x v="2"/>
    <n v="1"/>
    <n v="4"/>
    <n v="56"/>
    <n v="3"/>
    <n v="1"/>
    <n v="3"/>
    <n v="2909"/>
    <n v="23159"/>
    <n v="1"/>
    <n v="11"/>
    <n v="3"/>
    <n v="3"/>
    <n v="80"/>
    <n v="0"/>
    <n v="8"/>
    <n v="3"/>
    <n v="8"/>
    <n v="7"/>
    <n v="3"/>
    <n v="0"/>
  </r>
  <r>
    <s v="No"/>
    <s v="Travel_Rarely"/>
    <x v="2"/>
    <s v="Current Employees"/>
    <x v="1"/>
    <x v="2"/>
    <x v="4"/>
    <x v="4"/>
    <x v="1"/>
    <x v="2"/>
    <x v="1"/>
    <s v="No"/>
    <s v="Y"/>
    <n v="3"/>
    <n v="-2"/>
    <n v="0"/>
    <n v="27"/>
    <n v="0"/>
    <m/>
    <n v="0"/>
    <n v="1"/>
    <n v="591"/>
    <n v="2"/>
    <x v="1"/>
    <n v="1"/>
    <n v="1"/>
    <n v="40"/>
    <n v="3"/>
    <n v="1"/>
    <n v="2"/>
    <n v="3468"/>
    <n v="16632"/>
    <n v="9"/>
    <n v="12"/>
    <n v="3"/>
    <n v="4"/>
    <n v="80"/>
    <n v="1"/>
    <n v="6"/>
    <n v="3"/>
    <n v="2"/>
    <n v="2"/>
    <n v="2"/>
    <n v="2"/>
  </r>
  <r>
    <s v="No"/>
    <s v="Travel_Frequently"/>
    <x v="2"/>
    <s v="Current Employees"/>
    <x v="1"/>
    <x v="0"/>
    <x v="5"/>
    <x v="5"/>
    <x v="1"/>
    <x v="2"/>
    <x v="0"/>
    <s v="No"/>
    <s v="Y"/>
    <n v="2"/>
    <n v="-2"/>
    <n v="0"/>
    <n v="32"/>
    <n v="0"/>
    <m/>
    <n v="0"/>
    <n v="1"/>
    <n v="1005"/>
    <n v="2"/>
    <x v="0"/>
    <n v="1"/>
    <n v="4"/>
    <n v="79"/>
    <n v="3"/>
    <n v="1"/>
    <n v="2"/>
    <n v="3068"/>
    <n v="11864"/>
    <n v="0"/>
    <n v="13"/>
    <n v="3"/>
    <n v="3"/>
    <n v="80"/>
    <n v="0"/>
    <n v="8"/>
    <n v="2"/>
    <n v="7"/>
    <n v="7"/>
    <n v="3"/>
    <n v="6"/>
  </r>
  <r>
    <s v="No"/>
    <s v="Travel_Rarely"/>
    <x v="3"/>
    <s v="Current Employees"/>
    <x v="1"/>
    <x v="2"/>
    <x v="6"/>
    <x v="6"/>
    <x v="0"/>
    <x v="2"/>
    <x v="1"/>
    <s v="Yes"/>
    <s v="Y"/>
    <n v="3"/>
    <n v="-2"/>
    <n v="0"/>
    <n v="59"/>
    <n v="0"/>
    <m/>
    <n v="0"/>
    <n v="1"/>
    <n v="1324"/>
    <n v="3"/>
    <x v="3"/>
    <n v="1"/>
    <n v="3"/>
    <n v="81"/>
    <n v="4"/>
    <n v="1"/>
    <n v="4"/>
    <n v="2670"/>
    <n v="9964"/>
    <n v="4"/>
    <n v="20"/>
    <n v="4"/>
    <n v="1"/>
    <n v="80"/>
    <n v="3"/>
    <n v="12"/>
    <n v="2"/>
    <n v="1"/>
    <n v="0"/>
    <n v="0"/>
    <n v="0"/>
  </r>
  <r>
    <s v="No"/>
    <s v="Travel_Rarely"/>
    <x v="2"/>
    <s v="Current Employees"/>
    <x v="1"/>
    <x v="0"/>
    <x v="7"/>
    <x v="7"/>
    <x v="1"/>
    <x v="2"/>
    <x v="2"/>
    <s v="No"/>
    <s v="Y"/>
    <n v="2"/>
    <n v="-2"/>
    <n v="0"/>
    <n v="30"/>
    <n v="0"/>
    <m/>
    <n v="0"/>
    <n v="1"/>
    <n v="1358"/>
    <n v="24"/>
    <x v="1"/>
    <n v="1"/>
    <n v="4"/>
    <n v="67"/>
    <n v="3"/>
    <n v="1"/>
    <n v="2"/>
    <n v="2693"/>
    <n v="13335"/>
    <n v="1"/>
    <n v="22"/>
    <n v="4"/>
    <n v="2"/>
    <n v="80"/>
    <n v="1"/>
    <n v="1"/>
    <n v="3"/>
    <n v="1"/>
    <n v="0"/>
    <n v="0"/>
    <n v="0"/>
  </r>
  <r>
    <s v="No"/>
    <s v="Travel_Frequently"/>
    <x v="0"/>
    <s v="Current Employees"/>
    <x v="1"/>
    <x v="0"/>
    <x v="8"/>
    <x v="8"/>
    <x v="1"/>
    <x v="3"/>
    <x v="0"/>
    <s v="No"/>
    <s v="Y"/>
    <n v="2"/>
    <n v="-2"/>
    <n v="0"/>
    <n v="38"/>
    <n v="0"/>
    <m/>
    <n v="0"/>
    <n v="1"/>
    <n v="216"/>
    <n v="23"/>
    <x v="3"/>
    <n v="1"/>
    <n v="4"/>
    <n v="44"/>
    <n v="2"/>
    <n v="3"/>
    <n v="2"/>
    <n v="9526"/>
    <n v="8787"/>
    <n v="0"/>
    <n v="21"/>
    <n v="4"/>
    <n v="2"/>
    <n v="80"/>
    <n v="0"/>
    <n v="10"/>
    <n v="3"/>
    <n v="9"/>
    <n v="7"/>
    <n v="1"/>
    <n v="8"/>
  </r>
  <r>
    <s v="No"/>
    <s v="Travel_Rarely"/>
    <x v="0"/>
    <s v="Current Employees"/>
    <x v="1"/>
    <x v="2"/>
    <x v="9"/>
    <x v="9"/>
    <x v="1"/>
    <x v="4"/>
    <x v="1"/>
    <s v="No"/>
    <s v="Y"/>
    <n v="3"/>
    <n v="-2"/>
    <n v="0"/>
    <n v="36"/>
    <n v="0"/>
    <m/>
    <n v="0"/>
    <n v="1"/>
    <n v="1299"/>
    <n v="27"/>
    <x v="3"/>
    <n v="1"/>
    <n v="3"/>
    <n v="94"/>
    <n v="3"/>
    <n v="2"/>
    <n v="3"/>
    <n v="5237"/>
    <n v="16577"/>
    <n v="6"/>
    <n v="13"/>
    <n v="3"/>
    <n v="2"/>
    <n v="80"/>
    <n v="2"/>
    <n v="17"/>
    <n v="2"/>
    <n v="7"/>
    <n v="7"/>
    <n v="7"/>
    <n v="7"/>
  </r>
  <r>
    <s v="No"/>
    <s v="Travel_Rarely"/>
    <x v="0"/>
    <s v="Current Employees"/>
    <x v="1"/>
    <x v="2"/>
    <x v="10"/>
    <x v="10"/>
    <x v="1"/>
    <x v="2"/>
    <x v="1"/>
    <s v="No"/>
    <s v="Y"/>
    <n v="5"/>
    <n v="-2"/>
    <n v="0"/>
    <n v="35"/>
    <n v="0"/>
    <m/>
    <n v="0"/>
    <n v="1"/>
    <n v="809"/>
    <n v="16"/>
    <x v="3"/>
    <n v="1"/>
    <n v="1"/>
    <n v="84"/>
    <n v="4"/>
    <n v="1"/>
    <n v="2"/>
    <n v="2426"/>
    <n v="16479"/>
    <n v="0"/>
    <n v="13"/>
    <n v="3"/>
    <n v="3"/>
    <n v="80"/>
    <n v="1"/>
    <n v="6"/>
    <n v="3"/>
    <n v="5"/>
    <n v="4"/>
    <n v="0"/>
    <n v="3"/>
  </r>
  <r>
    <s v="No"/>
    <s v="Travel_Rarely"/>
    <x v="2"/>
    <s v="Current Employees"/>
    <x v="1"/>
    <x v="0"/>
    <x v="11"/>
    <x v="11"/>
    <x v="0"/>
    <x v="2"/>
    <x v="0"/>
    <s v="Yes"/>
    <s v="Y"/>
    <n v="3"/>
    <n v="-2"/>
    <n v="0"/>
    <n v="29"/>
    <n v="0"/>
    <m/>
    <n v="0"/>
    <n v="1"/>
    <n v="153"/>
    <n v="15"/>
    <x v="0"/>
    <n v="1"/>
    <n v="4"/>
    <n v="49"/>
    <n v="2"/>
    <n v="2"/>
    <n v="2"/>
    <n v="4193"/>
    <n v="12682"/>
    <n v="0"/>
    <n v="12"/>
    <n v="3"/>
    <n v="4"/>
    <n v="80"/>
    <n v="0"/>
    <n v="10"/>
    <n v="3"/>
    <n v="9"/>
    <n v="5"/>
    <n v="0"/>
    <n v="8"/>
  </r>
  <r>
    <s v="No"/>
    <s v="Travel_Rarely"/>
    <x v="2"/>
    <s v="Current Employees"/>
    <x v="1"/>
    <x v="0"/>
    <x v="12"/>
    <x v="12"/>
    <x v="1"/>
    <x v="1"/>
    <x v="2"/>
    <s v="No"/>
    <s v="Y"/>
    <n v="1"/>
    <n v="-2"/>
    <n v="0"/>
    <n v="31"/>
    <n v="0"/>
    <m/>
    <n v="0"/>
    <n v="1"/>
    <n v="670"/>
    <n v="26"/>
    <x v="1"/>
    <n v="1"/>
    <n v="1"/>
    <n v="31"/>
    <n v="3"/>
    <n v="1"/>
    <n v="2"/>
    <n v="2911"/>
    <n v="15170"/>
    <n v="1"/>
    <n v="17"/>
    <n v="3"/>
    <n v="4"/>
    <n v="80"/>
    <n v="1"/>
    <n v="5"/>
    <n v="2"/>
    <n v="5"/>
    <n v="2"/>
    <n v="4"/>
    <n v="3"/>
  </r>
  <r>
    <s v="No"/>
    <s v="Travel_Rarely"/>
    <x v="2"/>
    <s v="Current Employees"/>
    <x v="1"/>
    <x v="2"/>
    <x v="13"/>
    <x v="13"/>
    <x v="1"/>
    <x v="2"/>
    <x v="2"/>
    <s v="No"/>
    <s v="Y"/>
    <n v="2"/>
    <n v="-2"/>
    <n v="0"/>
    <n v="34"/>
    <n v="0"/>
    <m/>
    <n v="0"/>
    <n v="1"/>
    <n v="1346"/>
    <n v="19"/>
    <x v="0"/>
    <n v="1"/>
    <n v="2"/>
    <n v="93"/>
    <n v="3"/>
    <n v="1"/>
    <n v="4"/>
    <n v="2661"/>
    <n v="8758"/>
    <n v="0"/>
    <n v="11"/>
    <n v="3"/>
    <n v="3"/>
    <n v="80"/>
    <n v="1"/>
    <n v="3"/>
    <n v="3"/>
    <n v="2"/>
    <n v="2"/>
    <n v="1"/>
    <n v="2"/>
  </r>
  <r>
    <s v="Yes"/>
    <s v="Travel_Rarely"/>
    <x v="2"/>
    <s v="Ex-Employees"/>
    <x v="1"/>
    <x v="0"/>
    <x v="14"/>
    <x v="14"/>
    <x v="1"/>
    <x v="2"/>
    <x v="0"/>
    <s v="Yes"/>
    <s v="Y"/>
    <n v="4"/>
    <n v="-2"/>
    <n v="0"/>
    <n v="28"/>
    <n v="1"/>
    <n v="1"/>
    <n v="1"/>
    <n v="0"/>
    <n v="103"/>
    <n v="24"/>
    <x v="3"/>
    <n v="1"/>
    <n v="3"/>
    <n v="50"/>
    <n v="2"/>
    <n v="1"/>
    <n v="2"/>
    <n v="2028"/>
    <n v="12947"/>
    <n v="5"/>
    <n v="14"/>
    <n v="3"/>
    <n v="2"/>
    <n v="80"/>
    <n v="0"/>
    <n v="6"/>
    <n v="3"/>
    <n v="4"/>
    <n v="2"/>
    <n v="0"/>
    <n v="3"/>
  </r>
  <r>
    <s v="No"/>
    <s v="Travel_Rarely"/>
    <x v="2"/>
    <s v="Current Employees"/>
    <x v="1"/>
    <x v="0"/>
    <x v="15"/>
    <x v="15"/>
    <x v="0"/>
    <x v="3"/>
    <x v="2"/>
    <s v="No"/>
    <s v="Y"/>
    <n v="1"/>
    <n v="-2"/>
    <n v="0"/>
    <n v="29"/>
    <n v="0"/>
    <m/>
    <n v="0"/>
    <n v="1"/>
    <n v="1389"/>
    <n v="21"/>
    <x v="2"/>
    <n v="1"/>
    <n v="2"/>
    <n v="51"/>
    <n v="4"/>
    <n v="3"/>
    <n v="2"/>
    <n v="9980"/>
    <n v="10195"/>
    <n v="1"/>
    <n v="11"/>
    <n v="3"/>
    <n v="3"/>
    <n v="80"/>
    <n v="1"/>
    <n v="10"/>
    <n v="3"/>
    <n v="10"/>
    <n v="9"/>
    <n v="8"/>
    <n v="8"/>
  </r>
  <r>
    <s v="No"/>
    <s v="Travel_Rarely"/>
    <x v="2"/>
    <s v="Current Employees"/>
    <x v="1"/>
    <x v="0"/>
    <x v="16"/>
    <x v="16"/>
    <x v="1"/>
    <x v="1"/>
    <x v="2"/>
    <s v="Yes"/>
    <s v="Y"/>
    <n v="5"/>
    <n v="-2"/>
    <n v="0"/>
    <n v="32"/>
    <n v="0"/>
    <m/>
    <n v="0"/>
    <n v="1"/>
    <n v="334"/>
    <n v="5"/>
    <x v="0"/>
    <n v="1"/>
    <n v="1"/>
    <n v="80"/>
    <n v="4"/>
    <n v="1"/>
    <n v="2"/>
    <n v="3298"/>
    <n v="15053"/>
    <n v="0"/>
    <n v="12"/>
    <n v="3"/>
    <n v="4"/>
    <n v="80"/>
    <n v="2"/>
    <n v="7"/>
    <n v="2"/>
    <n v="6"/>
    <n v="2"/>
    <n v="0"/>
    <n v="5"/>
  </r>
  <r>
    <s v="No"/>
    <s v="Non-Travel"/>
    <x v="4"/>
    <s v="Current Employees"/>
    <x v="1"/>
    <x v="2"/>
    <x v="17"/>
    <x v="17"/>
    <x v="1"/>
    <x v="2"/>
    <x v="2"/>
    <s v="Yes"/>
    <s v="Y"/>
    <n v="2"/>
    <n v="-2"/>
    <n v="0"/>
    <n v="22"/>
    <n v="0"/>
    <m/>
    <n v="0"/>
    <n v="1"/>
    <n v="1123"/>
    <n v="16"/>
    <x v="0"/>
    <n v="1"/>
    <n v="4"/>
    <n v="96"/>
    <n v="4"/>
    <n v="1"/>
    <n v="4"/>
    <n v="2935"/>
    <n v="7324"/>
    <n v="1"/>
    <n v="13"/>
    <n v="3"/>
    <n v="2"/>
    <n v="80"/>
    <n v="2"/>
    <n v="1"/>
    <n v="2"/>
    <n v="1"/>
    <n v="0"/>
    <n v="0"/>
    <n v="0"/>
  </r>
  <r>
    <s v="No"/>
    <s v="Travel_Rarely"/>
    <x v="1"/>
    <s v="Current Employees"/>
    <x v="0"/>
    <x v="0"/>
    <x v="18"/>
    <x v="18"/>
    <x v="0"/>
    <x v="5"/>
    <x v="1"/>
    <s v="No"/>
    <s v="Y"/>
    <n v="3"/>
    <n v="-2"/>
    <n v="0"/>
    <n v="53"/>
    <n v="0"/>
    <m/>
    <n v="0"/>
    <n v="1"/>
    <n v="1219"/>
    <n v="2"/>
    <x v="2"/>
    <n v="1"/>
    <n v="1"/>
    <n v="78"/>
    <n v="2"/>
    <n v="4"/>
    <n v="2"/>
    <n v="15427"/>
    <n v="22021"/>
    <n v="2"/>
    <n v="16"/>
    <n v="3"/>
    <n v="3"/>
    <n v="80"/>
    <n v="0"/>
    <n v="31"/>
    <n v="3"/>
    <n v="25"/>
    <n v="8"/>
    <n v="3"/>
    <n v="7"/>
  </r>
  <r>
    <s v="No"/>
    <s v="Travel_Rarely"/>
    <x v="0"/>
    <s v="Current Employees"/>
    <x v="1"/>
    <x v="0"/>
    <x v="19"/>
    <x v="19"/>
    <x v="1"/>
    <x v="1"/>
    <x v="0"/>
    <s v="Yes"/>
    <s v="Y"/>
    <n v="3"/>
    <n v="-2"/>
    <n v="0"/>
    <n v="38"/>
    <n v="0"/>
    <m/>
    <n v="0"/>
    <n v="1"/>
    <n v="371"/>
    <n v="2"/>
    <x v="3"/>
    <n v="1"/>
    <n v="4"/>
    <n v="45"/>
    <n v="3"/>
    <n v="1"/>
    <n v="2"/>
    <n v="3944"/>
    <n v="4306"/>
    <n v="5"/>
    <n v="11"/>
    <n v="3"/>
    <n v="3"/>
    <n v="80"/>
    <n v="0"/>
    <n v="6"/>
    <n v="3"/>
    <n v="3"/>
    <n v="2"/>
    <n v="1"/>
    <n v="2"/>
  </r>
  <r>
    <s v="No"/>
    <s v="Non-Travel"/>
    <x v="4"/>
    <s v="Current Employees"/>
    <x v="1"/>
    <x v="1"/>
    <x v="20"/>
    <x v="20"/>
    <x v="0"/>
    <x v="3"/>
    <x v="2"/>
    <s v="No"/>
    <s v="Y"/>
    <n v="5"/>
    <n v="-2"/>
    <n v="0"/>
    <n v="24"/>
    <n v="0"/>
    <m/>
    <n v="0"/>
    <n v="1"/>
    <n v="673"/>
    <n v="11"/>
    <x v="0"/>
    <n v="1"/>
    <n v="1"/>
    <n v="96"/>
    <n v="4"/>
    <n v="2"/>
    <n v="3"/>
    <n v="4011"/>
    <n v="8232"/>
    <n v="0"/>
    <n v="18"/>
    <n v="3"/>
    <n v="4"/>
    <n v="80"/>
    <n v="1"/>
    <n v="5"/>
    <n v="2"/>
    <n v="4"/>
    <n v="2"/>
    <n v="1"/>
    <n v="3"/>
  </r>
  <r>
    <s v="Yes"/>
    <s v="Travel_Rarely"/>
    <x v="0"/>
    <s v="Ex-Employees"/>
    <x v="0"/>
    <x v="0"/>
    <x v="21"/>
    <x v="21"/>
    <x v="1"/>
    <x v="6"/>
    <x v="0"/>
    <s v="No"/>
    <s v="Y"/>
    <n v="4"/>
    <n v="-2"/>
    <n v="0"/>
    <n v="36"/>
    <n v="1"/>
    <n v="1"/>
    <n v="1"/>
    <n v="0"/>
    <n v="1218"/>
    <n v="9"/>
    <x v="2"/>
    <n v="1"/>
    <n v="3"/>
    <n v="82"/>
    <n v="2"/>
    <n v="1"/>
    <n v="2"/>
    <n v="3407"/>
    <n v="6986"/>
    <n v="7"/>
    <n v="23"/>
    <n v="4"/>
    <n v="2"/>
    <n v="80"/>
    <n v="0"/>
    <n v="10"/>
    <n v="3"/>
    <n v="5"/>
    <n v="3"/>
    <n v="0"/>
    <n v="3"/>
  </r>
  <r>
    <s v="No"/>
    <s v="Travel_Rarely"/>
    <x v="2"/>
    <s v="Current Employees"/>
    <x v="1"/>
    <x v="0"/>
    <x v="22"/>
    <x v="22"/>
    <x v="0"/>
    <x v="7"/>
    <x v="0"/>
    <s v="No"/>
    <s v="Y"/>
    <n v="4"/>
    <n v="-2"/>
    <n v="0"/>
    <n v="34"/>
    <n v="0"/>
    <m/>
    <n v="0"/>
    <n v="1"/>
    <n v="419"/>
    <n v="7"/>
    <x v="2"/>
    <n v="1"/>
    <n v="1"/>
    <n v="53"/>
    <n v="3"/>
    <n v="3"/>
    <n v="2"/>
    <n v="11994"/>
    <n v="21293"/>
    <n v="0"/>
    <n v="11"/>
    <n v="3"/>
    <n v="3"/>
    <n v="80"/>
    <n v="0"/>
    <n v="13"/>
    <n v="3"/>
    <n v="12"/>
    <n v="6"/>
    <n v="2"/>
    <n v="11"/>
  </r>
  <r>
    <s v="No"/>
    <s v="Travel_Rarely"/>
    <x v="4"/>
    <s v="Current Employees"/>
    <x v="1"/>
    <x v="0"/>
    <x v="23"/>
    <x v="23"/>
    <x v="1"/>
    <x v="1"/>
    <x v="0"/>
    <s v="No"/>
    <s v="Y"/>
    <n v="6"/>
    <n v="-2"/>
    <n v="0"/>
    <n v="21"/>
    <n v="0"/>
    <m/>
    <n v="0"/>
    <n v="1"/>
    <n v="391"/>
    <n v="15"/>
    <x v="0"/>
    <n v="1"/>
    <n v="3"/>
    <n v="96"/>
    <n v="3"/>
    <n v="1"/>
    <n v="2"/>
    <n v="1232"/>
    <n v="19281"/>
    <n v="1"/>
    <n v="14"/>
    <n v="3"/>
    <n v="4"/>
    <n v="80"/>
    <n v="0"/>
    <n v="0"/>
    <n v="3"/>
    <n v="0"/>
    <n v="0"/>
    <n v="0"/>
    <n v="0"/>
  </r>
  <r>
    <s v="Yes"/>
    <s v="Travel_Rarely"/>
    <x v="2"/>
    <s v="Ex-Employees"/>
    <x v="1"/>
    <x v="2"/>
    <x v="24"/>
    <x v="24"/>
    <x v="1"/>
    <x v="1"/>
    <x v="0"/>
    <s v="No"/>
    <s v="Y"/>
    <n v="2"/>
    <n v="-2"/>
    <n v="0"/>
    <n v="34"/>
    <n v="1"/>
    <n v="1"/>
    <n v="1"/>
    <n v="0"/>
    <n v="699"/>
    <n v="6"/>
    <x v="1"/>
    <n v="1"/>
    <n v="2"/>
    <n v="83"/>
    <n v="3"/>
    <n v="1"/>
    <n v="4"/>
    <n v="2960"/>
    <n v="17102"/>
    <n v="2"/>
    <n v="11"/>
    <n v="3"/>
    <n v="3"/>
    <n v="80"/>
    <n v="0"/>
    <n v="8"/>
    <n v="3"/>
    <n v="4"/>
    <n v="2"/>
    <n v="1"/>
    <n v="3"/>
  </r>
  <r>
    <s v="No"/>
    <s v="Travel_Rarely"/>
    <x v="1"/>
    <s v="Current Employees"/>
    <x v="1"/>
    <x v="1"/>
    <x v="25"/>
    <x v="25"/>
    <x v="0"/>
    <x v="5"/>
    <x v="2"/>
    <s v="No"/>
    <s v="Y"/>
    <n v="3"/>
    <n v="-2"/>
    <n v="0"/>
    <n v="53"/>
    <n v="0"/>
    <m/>
    <n v="0"/>
    <n v="1"/>
    <n v="1282"/>
    <n v="5"/>
    <x v="3"/>
    <n v="1"/>
    <n v="3"/>
    <n v="58"/>
    <n v="3"/>
    <n v="5"/>
    <n v="3"/>
    <n v="19094"/>
    <n v="10735"/>
    <n v="4"/>
    <n v="11"/>
    <n v="3"/>
    <n v="4"/>
    <n v="80"/>
    <n v="1"/>
    <n v="26"/>
    <n v="2"/>
    <n v="14"/>
    <n v="13"/>
    <n v="4"/>
    <n v="8"/>
  </r>
  <r>
    <s v="Yes"/>
    <s v="Travel_Frequently"/>
    <x v="2"/>
    <s v="Ex-Employees"/>
    <x v="1"/>
    <x v="0"/>
    <x v="26"/>
    <x v="26"/>
    <x v="0"/>
    <x v="1"/>
    <x v="0"/>
    <s v="Yes"/>
    <s v="Y"/>
    <n v="5"/>
    <n v="-2"/>
    <n v="0"/>
    <n v="32"/>
    <n v="1"/>
    <n v="1"/>
    <n v="1"/>
    <n v="0"/>
    <n v="1125"/>
    <n v="16"/>
    <x v="1"/>
    <n v="1"/>
    <n v="2"/>
    <n v="72"/>
    <n v="1"/>
    <n v="1"/>
    <n v="2"/>
    <n v="3919"/>
    <n v="4681"/>
    <n v="1"/>
    <n v="22"/>
    <n v="4"/>
    <n v="2"/>
    <n v="80"/>
    <n v="0"/>
    <n v="10"/>
    <n v="3"/>
    <n v="10"/>
    <n v="2"/>
    <n v="6"/>
    <n v="7"/>
  </r>
  <r>
    <s v="No"/>
    <s v="Travel_Rarely"/>
    <x v="0"/>
    <s v="Current Employees"/>
    <x v="0"/>
    <x v="3"/>
    <x v="27"/>
    <x v="27"/>
    <x v="1"/>
    <x v="0"/>
    <x v="1"/>
    <s v="No"/>
    <s v="Y"/>
    <n v="2"/>
    <n v="-2"/>
    <n v="0"/>
    <n v="42"/>
    <n v="0"/>
    <m/>
    <n v="0"/>
    <n v="1"/>
    <n v="691"/>
    <n v="8"/>
    <x v="2"/>
    <n v="1"/>
    <n v="3"/>
    <n v="48"/>
    <n v="3"/>
    <n v="2"/>
    <n v="3"/>
    <n v="6825"/>
    <n v="21173"/>
    <n v="0"/>
    <n v="11"/>
    <n v="3"/>
    <n v="4"/>
    <n v="80"/>
    <n v="1"/>
    <n v="10"/>
    <n v="3"/>
    <n v="9"/>
    <n v="7"/>
    <n v="4"/>
    <n v="2"/>
  </r>
  <r>
    <s v="No"/>
    <s v="Travel_Rarely"/>
    <x v="0"/>
    <s v="Current Employees"/>
    <x v="1"/>
    <x v="2"/>
    <x v="28"/>
    <x v="28"/>
    <x v="0"/>
    <x v="4"/>
    <x v="1"/>
    <s v="No"/>
    <s v="Y"/>
    <n v="4"/>
    <n v="-2"/>
    <n v="0"/>
    <n v="44"/>
    <n v="0"/>
    <m/>
    <n v="0"/>
    <n v="1"/>
    <n v="477"/>
    <n v="7"/>
    <x v="2"/>
    <n v="1"/>
    <n v="1"/>
    <n v="42"/>
    <n v="2"/>
    <n v="3"/>
    <n v="4"/>
    <n v="10248"/>
    <n v="2094"/>
    <n v="3"/>
    <n v="14"/>
    <n v="3"/>
    <n v="4"/>
    <n v="80"/>
    <n v="1"/>
    <n v="24"/>
    <n v="3"/>
    <n v="22"/>
    <n v="6"/>
    <n v="5"/>
    <n v="17"/>
  </r>
  <r>
    <s v="No"/>
    <s v="Travel_Rarely"/>
    <x v="1"/>
    <s v="Current Employees"/>
    <x v="0"/>
    <x v="3"/>
    <x v="29"/>
    <x v="29"/>
    <x v="0"/>
    <x v="5"/>
    <x v="0"/>
    <s v="No"/>
    <s v="Y"/>
    <n v="2"/>
    <n v="-2"/>
    <n v="0"/>
    <n v="46"/>
    <n v="0"/>
    <m/>
    <n v="0"/>
    <n v="1"/>
    <n v="705"/>
    <n v="2"/>
    <x v="2"/>
    <n v="1"/>
    <n v="2"/>
    <n v="83"/>
    <n v="3"/>
    <n v="5"/>
    <n v="4"/>
    <n v="18947"/>
    <n v="22822"/>
    <n v="3"/>
    <n v="12"/>
    <n v="3"/>
    <n v="4"/>
    <n v="80"/>
    <n v="0"/>
    <n v="22"/>
    <n v="2"/>
    <n v="2"/>
    <n v="2"/>
    <n v="2"/>
    <n v="1"/>
  </r>
  <r>
    <s v="No"/>
    <s v="Travel_Rarely"/>
    <x v="2"/>
    <s v="Current Employees"/>
    <x v="1"/>
    <x v="2"/>
    <x v="30"/>
    <x v="30"/>
    <x v="1"/>
    <x v="2"/>
    <x v="0"/>
    <s v="No"/>
    <s v="Y"/>
    <n v="3"/>
    <n v="-2"/>
    <n v="0"/>
    <n v="33"/>
    <n v="0"/>
    <m/>
    <n v="0"/>
    <n v="1"/>
    <n v="924"/>
    <n v="2"/>
    <x v="3"/>
    <n v="1"/>
    <n v="3"/>
    <n v="78"/>
    <n v="3"/>
    <n v="1"/>
    <n v="4"/>
    <n v="2496"/>
    <n v="6670"/>
    <n v="4"/>
    <n v="11"/>
    <n v="3"/>
    <n v="4"/>
    <n v="80"/>
    <n v="0"/>
    <n v="7"/>
    <n v="3"/>
    <n v="1"/>
    <n v="1"/>
    <n v="0"/>
    <n v="0"/>
  </r>
  <r>
    <s v="No"/>
    <s v="Travel_Rarely"/>
    <x v="0"/>
    <s v="Current Employees"/>
    <x v="1"/>
    <x v="1"/>
    <x v="31"/>
    <x v="31"/>
    <x v="1"/>
    <x v="4"/>
    <x v="1"/>
    <s v="Yes"/>
    <s v="Y"/>
    <n v="5"/>
    <n v="-2"/>
    <n v="0"/>
    <n v="44"/>
    <n v="0"/>
    <m/>
    <n v="0"/>
    <n v="1"/>
    <n v="1459"/>
    <n v="10"/>
    <x v="2"/>
    <n v="1"/>
    <n v="4"/>
    <n v="41"/>
    <n v="3"/>
    <n v="2"/>
    <n v="4"/>
    <n v="6465"/>
    <n v="19121"/>
    <n v="2"/>
    <n v="13"/>
    <n v="3"/>
    <n v="4"/>
    <n v="80"/>
    <n v="0"/>
    <n v="9"/>
    <n v="4"/>
    <n v="4"/>
    <n v="2"/>
    <n v="1"/>
    <n v="3"/>
  </r>
  <r>
    <s v="No"/>
    <s v="Travel_Rarely"/>
    <x v="2"/>
    <s v="Current Employees"/>
    <x v="1"/>
    <x v="2"/>
    <x v="32"/>
    <x v="32"/>
    <x v="1"/>
    <x v="2"/>
    <x v="0"/>
    <s v="No"/>
    <s v="Y"/>
    <n v="5"/>
    <n v="-2"/>
    <n v="0"/>
    <n v="30"/>
    <n v="0"/>
    <m/>
    <n v="0"/>
    <n v="1"/>
    <n v="125"/>
    <n v="9"/>
    <x v="0"/>
    <n v="1"/>
    <n v="4"/>
    <n v="83"/>
    <n v="2"/>
    <n v="1"/>
    <n v="3"/>
    <n v="2206"/>
    <n v="16117"/>
    <n v="1"/>
    <n v="13"/>
    <n v="3"/>
    <n v="1"/>
    <n v="80"/>
    <n v="0"/>
    <n v="10"/>
    <n v="3"/>
    <n v="10"/>
    <n v="0"/>
    <n v="1"/>
    <n v="8"/>
  </r>
  <r>
    <s v="Yes"/>
    <s v="Travel_Rarely"/>
    <x v="0"/>
    <s v="Ex-Employees"/>
    <x v="0"/>
    <x v="4"/>
    <x v="33"/>
    <x v="33"/>
    <x v="1"/>
    <x v="6"/>
    <x v="1"/>
    <s v="No"/>
    <s v="Y"/>
    <n v="6"/>
    <n v="-2"/>
    <n v="0"/>
    <n v="39"/>
    <n v="1"/>
    <n v="1"/>
    <n v="1"/>
    <n v="0"/>
    <n v="895"/>
    <n v="5"/>
    <x v="3"/>
    <n v="1"/>
    <n v="4"/>
    <n v="56"/>
    <n v="3"/>
    <n v="2"/>
    <n v="4"/>
    <n v="2086"/>
    <n v="3335"/>
    <n v="3"/>
    <n v="14"/>
    <n v="3"/>
    <n v="3"/>
    <n v="80"/>
    <n v="1"/>
    <n v="19"/>
    <n v="4"/>
    <n v="1"/>
    <n v="0"/>
    <n v="0"/>
    <n v="0"/>
  </r>
  <r>
    <s v="Yes"/>
    <s v="Travel_Rarely"/>
    <x v="4"/>
    <s v="Ex-Employees"/>
    <x v="1"/>
    <x v="2"/>
    <x v="34"/>
    <x v="34"/>
    <x v="1"/>
    <x v="1"/>
    <x v="1"/>
    <s v="Yes"/>
    <s v="Y"/>
    <n v="2"/>
    <n v="-2"/>
    <n v="0"/>
    <n v="24"/>
    <n v="1"/>
    <n v="1"/>
    <n v="1"/>
    <n v="0"/>
    <n v="813"/>
    <n v="1"/>
    <x v="3"/>
    <n v="1"/>
    <n v="2"/>
    <n v="61"/>
    <n v="3"/>
    <n v="1"/>
    <n v="4"/>
    <n v="2293"/>
    <n v="3020"/>
    <n v="2"/>
    <n v="16"/>
    <n v="3"/>
    <n v="1"/>
    <n v="80"/>
    <n v="1"/>
    <n v="6"/>
    <n v="2"/>
    <n v="2"/>
    <n v="0"/>
    <n v="2"/>
    <n v="0"/>
  </r>
  <r>
    <s v="No"/>
    <s v="Travel_Rarely"/>
    <x v="0"/>
    <s v="Current Employees"/>
    <x v="1"/>
    <x v="2"/>
    <x v="35"/>
    <x v="35"/>
    <x v="0"/>
    <x v="1"/>
    <x v="2"/>
    <s v="No"/>
    <s v="Y"/>
    <n v="3"/>
    <n v="-2"/>
    <n v="0"/>
    <n v="43"/>
    <n v="0"/>
    <m/>
    <n v="0"/>
    <n v="1"/>
    <n v="1273"/>
    <n v="2"/>
    <x v="0"/>
    <n v="1"/>
    <n v="4"/>
    <n v="72"/>
    <n v="4"/>
    <n v="1"/>
    <n v="3"/>
    <n v="2645"/>
    <n v="21923"/>
    <n v="1"/>
    <n v="12"/>
    <n v="3"/>
    <n v="4"/>
    <n v="80"/>
    <n v="2"/>
    <n v="6"/>
    <n v="2"/>
    <n v="5"/>
    <n v="3"/>
    <n v="1"/>
    <n v="4"/>
  </r>
  <r>
    <s v="Yes"/>
    <s v="Travel_Rarely"/>
    <x v="1"/>
    <s v="Ex-Employees"/>
    <x v="0"/>
    <x v="3"/>
    <x v="36"/>
    <x v="36"/>
    <x v="1"/>
    <x v="6"/>
    <x v="1"/>
    <s v="Yes"/>
    <s v="Y"/>
    <n v="2"/>
    <n v="-2"/>
    <n v="0"/>
    <n v="50"/>
    <n v="1"/>
    <n v="1"/>
    <n v="1"/>
    <n v="0"/>
    <n v="869"/>
    <n v="3"/>
    <x v="0"/>
    <n v="1"/>
    <n v="1"/>
    <n v="86"/>
    <n v="2"/>
    <n v="1"/>
    <n v="3"/>
    <n v="2683"/>
    <n v="3810"/>
    <n v="1"/>
    <n v="14"/>
    <n v="3"/>
    <n v="3"/>
    <n v="80"/>
    <n v="0"/>
    <n v="3"/>
    <n v="3"/>
    <n v="3"/>
    <n v="2"/>
    <n v="0"/>
    <n v="2"/>
  </r>
  <r>
    <s v="No"/>
    <s v="Travel_Rarely"/>
    <x v="0"/>
    <s v="Current Employees"/>
    <x v="0"/>
    <x v="3"/>
    <x v="37"/>
    <x v="37"/>
    <x v="0"/>
    <x v="6"/>
    <x v="1"/>
    <s v="No"/>
    <s v="Y"/>
    <n v="3"/>
    <n v="-2"/>
    <n v="0"/>
    <n v="35"/>
    <n v="0"/>
    <m/>
    <n v="0"/>
    <n v="1"/>
    <n v="890"/>
    <n v="2"/>
    <x v="3"/>
    <n v="1"/>
    <n v="4"/>
    <n v="97"/>
    <n v="3"/>
    <n v="1"/>
    <n v="4"/>
    <n v="2014"/>
    <n v="9687"/>
    <n v="1"/>
    <n v="13"/>
    <n v="3"/>
    <n v="1"/>
    <n v="80"/>
    <n v="0"/>
    <n v="2"/>
    <n v="3"/>
    <n v="2"/>
    <n v="2"/>
    <n v="2"/>
    <n v="2"/>
  </r>
  <r>
    <s v="No"/>
    <s v="Travel_Rarely"/>
    <x v="0"/>
    <s v="Current Employees"/>
    <x v="1"/>
    <x v="0"/>
    <x v="38"/>
    <x v="38"/>
    <x v="0"/>
    <x v="1"/>
    <x v="1"/>
    <s v="Yes"/>
    <s v="Y"/>
    <n v="3"/>
    <n v="-2"/>
    <n v="0"/>
    <n v="36"/>
    <n v="0"/>
    <m/>
    <n v="0"/>
    <n v="1"/>
    <n v="852"/>
    <n v="5"/>
    <x v="2"/>
    <n v="1"/>
    <n v="2"/>
    <n v="82"/>
    <n v="2"/>
    <n v="1"/>
    <n v="2"/>
    <n v="3419"/>
    <n v="13072"/>
    <n v="9"/>
    <n v="14"/>
    <n v="3"/>
    <n v="4"/>
    <n v="80"/>
    <n v="1"/>
    <n v="6"/>
    <n v="4"/>
    <n v="1"/>
    <n v="1"/>
    <n v="0"/>
    <n v="0"/>
  </r>
  <r>
    <s v="No"/>
    <s v="Travel_Frequently"/>
    <x v="2"/>
    <s v="Current Employees"/>
    <x v="0"/>
    <x v="0"/>
    <x v="39"/>
    <x v="39"/>
    <x v="0"/>
    <x v="0"/>
    <x v="1"/>
    <s v="No"/>
    <s v="Y"/>
    <n v="3"/>
    <n v="-2"/>
    <n v="0"/>
    <n v="33"/>
    <n v="0"/>
    <m/>
    <n v="0"/>
    <n v="1"/>
    <n v="1141"/>
    <n v="1"/>
    <x v="3"/>
    <n v="1"/>
    <n v="3"/>
    <n v="42"/>
    <n v="4"/>
    <n v="2"/>
    <n v="2"/>
    <n v="5376"/>
    <n v="3193"/>
    <n v="2"/>
    <n v="19"/>
    <n v="3"/>
    <n v="1"/>
    <n v="80"/>
    <n v="2"/>
    <n v="10"/>
    <n v="3"/>
    <n v="5"/>
    <n v="3"/>
    <n v="1"/>
    <n v="3"/>
  </r>
  <r>
    <s v="No"/>
    <s v="Travel_Rarely"/>
    <x v="0"/>
    <s v="Current Employees"/>
    <x v="1"/>
    <x v="1"/>
    <x v="40"/>
    <x v="40"/>
    <x v="1"/>
    <x v="2"/>
    <x v="2"/>
    <s v="No"/>
    <s v="Y"/>
    <n v="3"/>
    <n v="-2"/>
    <n v="0"/>
    <n v="35"/>
    <n v="0"/>
    <m/>
    <n v="0"/>
    <n v="1"/>
    <n v="464"/>
    <n v="4"/>
    <x v="0"/>
    <n v="1"/>
    <n v="3"/>
    <n v="75"/>
    <n v="3"/>
    <n v="1"/>
    <n v="4"/>
    <n v="1951"/>
    <n v="10910"/>
    <n v="1"/>
    <n v="12"/>
    <n v="3"/>
    <n v="3"/>
    <n v="80"/>
    <n v="1"/>
    <n v="1"/>
    <n v="3"/>
    <n v="1"/>
    <n v="0"/>
    <n v="0"/>
    <n v="0"/>
  </r>
  <r>
    <s v="No"/>
    <s v="Travel_Rarely"/>
    <x v="2"/>
    <s v="Current Employees"/>
    <x v="1"/>
    <x v="0"/>
    <x v="41"/>
    <x v="41"/>
    <x v="0"/>
    <x v="2"/>
    <x v="2"/>
    <s v="No"/>
    <s v="Y"/>
    <n v="6"/>
    <n v="-2"/>
    <n v="0"/>
    <n v="27"/>
    <n v="0"/>
    <m/>
    <n v="0"/>
    <n v="1"/>
    <n v="1240"/>
    <n v="2"/>
    <x v="2"/>
    <n v="1"/>
    <n v="4"/>
    <n v="33"/>
    <n v="3"/>
    <n v="1"/>
    <n v="2"/>
    <n v="2341"/>
    <n v="19715"/>
    <n v="1"/>
    <n v="13"/>
    <n v="3"/>
    <n v="4"/>
    <n v="80"/>
    <n v="1"/>
    <n v="1"/>
    <n v="3"/>
    <n v="1"/>
    <n v="0"/>
    <n v="0"/>
    <n v="0"/>
  </r>
  <r>
    <s v="Yes"/>
    <s v="Travel_Rarely"/>
    <x v="2"/>
    <s v="Ex-Employees"/>
    <x v="1"/>
    <x v="0"/>
    <x v="42"/>
    <x v="42"/>
    <x v="1"/>
    <x v="2"/>
    <x v="0"/>
    <s v="No"/>
    <s v="Y"/>
    <n v="2"/>
    <n v="-2"/>
    <n v="0"/>
    <n v="26"/>
    <n v="1"/>
    <n v="1"/>
    <n v="1"/>
    <n v="0"/>
    <n v="1357"/>
    <n v="25"/>
    <x v="3"/>
    <n v="1"/>
    <n v="1"/>
    <n v="48"/>
    <n v="1"/>
    <n v="1"/>
    <n v="2"/>
    <n v="2293"/>
    <n v="10558"/>
    <n v="1"/>
    <n v="12"/>
    <n v="3"/>
    <n v="3"/>
    <n v="80"/>
    <n v="0"/>
    <n v="1"/>
    <n v="2"/>
    <n v="1"/>
    <n v="0"/>
    <n v="0"/>
    <n v="1"/>
  </r>
  <r>
    <s v="No"/>
    <s v="Travel_Frequently"/>
    <x v="2"/>
    <s v="Current Employees"/>
    <x v="0"/>
    <x v="0"/>
    <x v="43"/>
    <x v="43"/>
    <x v="1"/>
    <x v="0"/>
    <x v="0"/>
    <s v="No"/>
    <s v="Y"/>
    <n v="0"/>
    <n v="-2"/>
    <n v="0"/>
    <n v="27"/>
    <n v="0"/>
    <m/>
    <n v="0"/>
    <n v="1"/>
    <n v="994"/>
    <n v="8"/>
    <x v="3"/>
    <n v="1"/>
    <n v="4"/>
    <n v="37"/>
    <n v="3"/>
    <n v="3"/>
    <n v="2"/>
    <n v="8726"/>
    <n v="2975"/>
    <n v="1"/>
    <n v="15"/>
    <n v="3"/>
    <n v="4"/>
    <n v="80"/>
    <n v="0"/>
    <n v="9"/>
    <n v="3"/>
    <n v="9"/>
    <n v="8"/>
    <n v="1"/>
    <n v="7"/>
  </r>
  <r>
    <s v="No"/>
    <s v="Travel_Frequently"/>
    <x v="2"/>
    <s v="Current Employees"/>
    <x v="1"/>
    <x v="2"/>
    <x v="44"/>
    <x v="44"/>
    <x v="0"/>
    <x v="2"/>
    <x v="0"/>
    <s v="No"/>
    <s v="Y"/>
    <n v="2"/>
    <n v="-2"/>
    <n v="0"/>
    <n v="30"/>
    <n v="0"/>
    <m/>
    <n v="0"/>
    <n v="1"/>
    <n v="721"/>
    <n v="1"/>
    <x v="0"/>
    <n v="1"/>
    <n v="3"/>
    <n v="58"/>
    <n v="3"/>
    <n v="2"/>
    <n v="4"/>
    <n v="4011"/>
    <n v="10781"/>
    <n v="1"/>
    <n v="23"/>
    <n v="4"/>
    <n v="4"/>
    <n v="80"/>
    <n v="0"/>
    <n v="12"/>
    <n v="3"/>
    <n v="12"/>
    <n v="8"/>
    <n v="3"/>
    <n v="7"/>
  </r>
  <r>
    <s v="Yes"/>
    <s v="Travel_Rarely"/>
    <x v="0"/>
    <s v="Ex-Employees"/>
    <x v="1"/>
    <x v="4"/>
    <x v="45"/>
    <x v="45"/>
    <x v="0"/>
    <x v="7"/>
    <x v="1"/>
    <s v="No"/>
    <s v="Y"/>
    <n v="0"/>
    <n v="-2"/>
    <n v="0"/>
    <n v="41"/>
    <n v="1"/>
    <n v="1"/>
    <n v="1"/>
    <n v="0"/>
    <n v="1360"/>
    <n v="12"/>
    <x v="3"/>
    <n v="1"/>
    <n v="2"/>
    <n v="49"/>
    <n v="3"/>
    <n v="5"/>
    <n v="3"/>
    <n v="19545"/>
    <n v="16280"/>
    <n v="1"/>
    <n v="12"/>
    <n v="3"/>
    <n v="4"/>
    <n v="80"/>
    <n v="0"/>
    <n v="23"/>
    <n v="3"/>
    <n v="22"/>
    <n v="15"/>
    <n v="15"/>
    <n v="8"/>
  </r>
  <r>
    <s v="No"/>
    <s v="Non-Travel"/>
    <x v="2"/>
    <s v="Current Employees"/>
    <x v="0"/>
    <x v="3"/>
    <x v="46"/>
    <x v="46"/>
    <x v="1"/>
    <x v="0"/>
    <x v="0"/>
    <s v="No"/>
    <s v="Y"/>
    <n v="2"/>
    <n v="-2"/>
    <n v="0"/>
    <n v="34"/>
    <n v="0"/>
    <m/>
    <n v="0"/>
    <n v="1"/>
    <n v="1065"/>
    <n v="23"/>
    <x v="2"/>
    <n v="1"/>
    <n v="2"/>
    <n v="72"/>
    <n v="3"/>
    <n v="2"/>
    <n v="3"/>
    <n v="4568"/>
    <n v="10034"/>
    <n v="0"/>
    <n v="20"/>
    <n v="4"/>
    <n v="3"/>
    <n v="80"/>
    <n v="0"/>
    <n v="10"/>
    <n v="3"/>
    <n v="9"/>
    <n v="5"/>
    <n v="8"/>
    <n v="7"/>
  </r>
  <r>
    <s v="No"/>
    <s v="Travel_Rarely"/>
    <x v="0"/>
    <s v="Current Employees"/>
    <x v="1"/>
    <x v="0"/>
    <x v="47"/>
    <x v="47"/>
    <x v="1"/>
    <x v="1"/>
    <x v="1"/>
    <s v="No"/>
    <s v="Y"/>
    <n v="1"/>
    <n v="-2"/>
    <n v="0"/>
    <n v="37"/>
    <n v="0"/>
    <m/>
    <n v="0"/>
    <n v="1"/>
    <n v="408"/>
    <n v="19"/>
    <x v="0"/>
    <n v="1"/>
    <n v="2"/>
    <n v="73"/>
    <n v="3"/>
    <n v="1"/>
    <n v="2"/>
    <n v="3022"/>
    <n v="10227"/>
    <n v="4"/>
    <n v="21"/>
    <n v="4"/>
    <n v="1"/>
    <n v="80"/>
    <n v="0"/>
    <n v="8"/>
    <n v="3"/>
    <n v="1"/>
    <n v="0"/>
    <n v="0"/>
    <n v="0"/>
  </r>
  <r>
    <s v="No"/>
    <s v="Travel_Frequently"/>
    <x v="1"/>
    <s v="Current Employees"/>
    <x v="0"/>
    <x v="3"/>
    <x v="48"/>
    <x v="48"/>
    <x v="1"/>
    <x v="0"/>
    <x v="0"/>
    <s v="Yes"/>
    <s v="Y"/>
    <n v="4"/>
    <n v="-2"/>
    <n v="0"/>
    <n v="46"/>
    <n v="0"/>
    <m/>
    <n v="0"/>
    <n v="1"/>
    <n v="1211"/>
    <n v="5"/>
    <x v="2"/>
    <n v="1"/>
    <n v="1"/>
    <n v="98"/>
    <n v="3"/>
    <n v="2"/>
    <n v="4"/>
    <n v="5772"/>
    <n v="20445"/>
    <n v="4"/>
    <n v="21"/>
    <n v="4"/>
    <n v="3"/>
    <n v="80"/>
    <n v="0"/>
    <n v="14"/>
    <n v="3"/>
    <n v="9"/>
    <n v="6"/>
    <n v="0"/>
    <n v="8"/>
  </r>
  <r>
    <s v="No"/>
    <s v="Travel_Rarely"/>
    <x v="0"/>
    <s v="Current Employees"/>
    <x v="1"/>
    <x v="0"/>
    <x v="49"/>
    <x v="49"/>
    <x v="1"/>
    <x v="2"/>
    <x v="1"/>
    <s v="No"/>
    <s v="Y"/>
    <n v="2"/>
    <n v="-2"/>
    <n v="0"/>
    <n v="35"/>
    <n v="0"/>
    <m/>
    <n v="0"/>
    <n v="1"/>
    <n v="1229"/>
    <n v="8"/>
    <x v="1"/>
    <n v="1"/>
    <n v="4"/>
    <n v="36"/>
    <n v="4"/>
    <n v="1"/>
    <n v="2"/>
    <n v="2269"/>
    <n v="4892"/>
    <n v="1"/>
    <n v="19"/>
    <n v="3"/>
    <n v="4"/>
    <n v="80"/>
    <n v="0"/>
    <n v="1"/>
    <n v="3"/>
    <n v="1"/>
    <n v="0"/>
    <n v="0"/>
    <n v="1"/>
  </r>
  <r>
    <s v="Yes"/>
    <s v="Travel_Rarely"/>
    <x v="1"/>
    <s v="Ex-Employees"/>
    <x v="1"/>
    <x v="0"/>
    <x v="50"/>
    <x v="50"/>
    <x v="1"/>
    <x v="2"/>
    <x v="0"/>
    <s v="Yes"/>
    <s v="Y"/>
    <n v="2"/>
    <n v="-2"/>
    <n v="0"/>
    <n v="48"/>
    <n v="1"/>
    <n v="1"/>
    <n v="1"/>
    <n v="0"/>
    <n v="626"/>
    <n v="1"/>
    <x v="0"/>
    <n v="1"/>
    <n v="1"/>
    <n v="98"/>
    <n v="2"/>
    <n v="3"/>
    <n v="2"/>
    <n v="5381"/>
    <n v="19294"/>
    <n v="9"/>
    <n v="13"/>
    <n v="3"/>
    <n v="4"/>
    <n v="80"/>
    <n v="0"/>
    <n v="23"/>
    <n v="3"/>
    <n v="1"/>
    <n v="0"/>
    <n v="0"/>
    <n v="0"/>
  </r>
  <r>
    <s v="Yes"/>
    <s v="Travel_Rarely"/>
    <x v="2"/>
    <s v="Ex-Employees"/>
    <x v="1"/>
    <x v="4"/>
    <x v="51"/>
    <x v="51"/>
    <x v="1"/>
    <x v="2"/>
    <x v="0"/>
    <s v="Yes"/>
    <s v="Y"/>
    <n v="3"/>
    <n v="-2"/>
    <n v="0"/>
    <n v="28"/>
    <n v="1"/>
    <n v="1"/>
    <n v="1"/>
    <n v="0"/>
    <n v="1434"/>
    <n v="5"/>
    <x v="2"/>
    <n v="1"/>
    <n v="3"/>
    <n v="50"/>
    <n v="3"/>
    <n v="1"/>
    <n v="3"/>
    <n v="3441"/>
    <n v="11179"/>
    <n v="1"/>
    <n v="13"/>
    <n v="3"/>
    <n v="3"/>
    <n v="80"/>
    <n v="0"/>
    <n v="2"/>
    <n v="2"/>
    <n v="2"/>
    <n v="2"/>
    <n v="2"/>
    <n v="2"/>
  </r>
  <r>
    <s v="No"/>
    <s v="Travel_Rarely"/>
    <x v="0"/>
    <s v="Current Employees"/>
    <x v="0"/>
    <x v="3"/>
    <x v="52"/>
    <x v="52"/>
    <x v="0"/>
    <x v="0"/>
    <x v="2"/>
    <s v="Yes"/>
    <s v="Y"/>
    <n v="2"/>
    <n v="-2"/>
    <n v="0"/>
    <n v="44"/>
    <n v="0"/>
    <m/>
    <n v="0"/>
    <n v="1"/>
    <n v="1488"/>
    <n v="1"/>
    <x v="4"/>
    <n v="1"/>
    <n v="2"/>
    <n v="75"/>
    <n v="3"/>
    <n v="2"/>
    <n v="4"/>
    <n v="5454"/>
    <n v="4009"/>
    <n v="5"/>
    <n v="21"/>
    <n v="4"/>
    <n v="3"/>
    <n v="80"/>
    <n v="1"/>
    <n v="9"/>
    <n v="2"/>
    <n v="4"/>
    <n v="3"/>
    <n v="1"/>
    <n v="3"/>
  </r>
  <r>
    <s v="No"/>
    <s v="Non-Travel"/>
    <x v="0"/>
    <s v="Current Employees"/>
    <x v="1"/>
    <x v="2"/>
    <x v="53"/>
    <x v="53"/>
    <x v="1"/>
    <x v="4"/>
    <x v="1"/>
    <s v="Yes"/>
    <s v="Y"/>
    <n v="3"/>
    <n v="-2"/>
    <n v="0"/>
    <n v="35"/>
    <n v="0"/>
    <m/>
    <n v="0"/>
    <n v="1"/>
    <n v="1097"/>
    <n v="11"/>
    <x v="0"/>
    <n v="1"/>
    <n v="3"/>
    <n v="79"/>
    <n v="2"/>
    <n v="3"/>
    <n v="4"/>
    <n v="9884"/>
    <n v="8302"/>
    <n v="2"/>
    <n v="13"/>
    <n v="3"/>
    <n v="3"/>
    <n v="80"/>
    <n v="1"/>
    <n v="10"/>
    <n v="3"/>
    <n v="4"/>
    <n v="0"/>
    <n v="2"/>
    <n v="3"/>
  </r>
  <r>
    <s v="No"/>
    <s v="Travel_Rarely"/>
    <x v="2"/>
    <s v="Current Employees"/>
    <x v="0"/>
    <x v="3"/>
    <x v="54"/>
    <x v="54"/>
    <x v="0"/>
    <x v="0"/>
    <x v="1"/>
    <s v="Yes"/>
    <s v="Y"/>
    <n v="2"/>
    <n v="-2"/>
    <n v="0"/>
    <n v="26"/>
    <n v="0"/>
    <m/>
    <n v="0"/>
    <n v="1"/>
    <n v="1443"/>
    <n v="23"/>
    <x v="3"/>
    <n v="1"/>
    <n v="3"/>
    <n v="47"/>
    <n v="2"/>
    <n v="2"/>
    <n v="4"/>
    <n v="4157"/>
    <n v="21436"/>
    <n v="7"/>
    <n v="19"/>
    <n v="3"/>
    <n v="3"/>
    <n v="80"/>
    <n v="1"/>
    <n v="5"/>
    <n v="2"/>
    <n v="2"/>
    <n v="2"/>
    <n v="0"/>
    <n v="0"/>
  </r>
  <r>
    <s v="No"/>
    <s v="Travel_Frequently"/>
    <x v="2"/>
    <s v="Current Employees"/>
    <x v="1"/>
    <x v="0"/>
    <x v="55"/>
    <x v="55"/>
    <x v="0"/>
    <x v="7"/>
    <x v="0"/>
    <s v="Yes"/>
    <s v="Y"/>
    <n v="1"/>
    <n v="-2"/>
    <n v="0"/>
    <n v="33"/>
    <n v="0"/>
    <m/>
    <n v="0"/>
    <n v="1"/>
    <n v="515"/>
    <n v="1"/>
    <x v="0"/>
    <n v="1"/>
    <n v="1"/>
    <n v="98"/>
    <n v="3"/>
    <n v="3"/>
    <n v="2"/>
    <n v="13458"/>
    <n v="15146"/>
    <n v="1"/>
    <n v="12"/>
    <n v="3"/>
    <n v="3"/>
    <n v="80"/>
    <n v="0"/>
    <n v="15"/>
    <n v="3"/>
    <n v="15"/>
    <n v="14"/>
    <n v="8"/>
    <n v="12"/>
  </r>
  <r>
    <s v="No"/>
    <s v="Travel_Frequently"/>
    <x v="0"/>
    <s v="Current Employees"/>
    <x v="0"/>
    <x v="0"/>
    <x v="56"/>
    <x v="56"/>
    <x v="1"/>
    <x v="0"/>
    <x v="1"/>
    <s v="No"/>
    <s v="Y"/>
    <n v="3"/>
    <n v="-2"/>
    <n v="0"/>
    <n v="35"/>
    <n v="0"/>
    <m/>
    <n v="0"/>
    <n v="1"/>
    <n v="853"/>
    <n v="18"/>
    <x v="4"/>
    <n v="1"/>
    <n v="2"/>
    <n v="71"/>
    <n v="3"/>
    <n v="3"/>
    <n v="2"/>
    <n v="9069"/>
    <n v="11031"/>
    <n v="1"/>
    <n v="22"/>
    <n v="4"/>
    <n v="4"/>
    <n v="80"/>
    <n v="1"/>
    <n v="9"/>
    <n v="2"/>
    <n v="9"/>
    <n v="8"/>
    <n v="1"/>
    <n v="8"/>
  </r>
  <r>
    <s v="No"/>
    <s v="Travel_Rarely"/>
    <x v="0"/>
    <s v="Current Employees"/>
    <x v="1"/>
    <x v="2"/>
    <x v="57"/>
    <x v="57"/>
    <x v="0"/>
    <x v="2"/>
    <x v="1"/>
    <s v="Yes"/>
    <s v="Y"/>
    <n v="3"/>
    <n v="-2"/>
    <n v="0"/>
    <n v="35"/>
    <n v="0"/>
    <m/>
    <n v="0"/>
    <n v="1"/>
    <n v="1142"/>
    <n v="23"/>
    <x v="2"/>
    <n v="1"/>
    <n v="3"/>
    <n v="30"/>
    <n v="3"/>
    <n v="1"/>
    <n v="4"/>
    <n v="4014"/>
    <n v="16002"/>
    <n v="3"/>
    <n v="15"/>
    <n v="3"/>
    <n v="3"/>
    <n v="80"/>
    <n v="1"/>
    <n v="4"/>
    <n v="3"/>
    <n v="2"/>
    <n v="2"/>
    <n v="2"/>
    <n v="2"/>
  </r>
  <r>
    <s v="No"/>
    <s v="Travel_Rarely"/>
    <x v="2"/>
    <s v="Current Employees"/>
    <x v="1"/>
    <x v="0"/>
    <x v="58"/>
    <x v="58"/>
    <x v="1"/>
    <x v="2"/>
    <x v="2"/>
    <s v="No"/>
    <s v="Y"/>
    <n v="3"/>
    <n v="-2"/>
    <n v="0"/>
    <n v="31"/>
    <n v="0"/>
    <m/>
    <n v="0"/>
    <n v="1"/>
    <n v="655"/>
    <n v="7"/>
    <x v="2"/>
    <n v="1"/>
    <n v="4"/>
    <n v="48"/>
    <n v="3"/>
    <n v="2"/>
    <n v="2"/>
    <n v="5915"/>
    <n v="9528"/>
    <n v="3"/>
    <n v="22"/>
    <n v="4"/>
    <n v="4"/>
    <n v="80"/>
    <n v="1"/>
    <n v="10"/>
    <n v="2"/>
    <n v="7"/>
    <n v="7"/>
    <n v="1"/>
    <n v="7"/>
  </r>
  <r>
    <s v="No"/>
    <s v="Travel_Rarely"/>
    <x v="0"/>
    <s v="Current Employees"/>
    <x v="1"/>
    <x v="0"/>
    <x v="59"/>
    <x v="59"/>
    <x v="1"/>
    <x v="3"/>
    <x v="2"/>
    <s v="No"/>
    <s v="Y"/>
    <n v="2"/>
    <n v="-2"/>
    <n v="0"/>
    <n v="37"/>
    <n v="0"/>
    <m/>
    <n v="0"/>
    <n v="1"/>
    <n v="1115"/>
    <n v="1"/>
    <x v="2"/>
    <n v="1"/>
    <n v="1"/>
    <n v="51"/>
    <n v="2"/>
    <n v="2"/>
    <n v="2"/>
    <n v="5993"/>
    <n v="2689"/>
    <n v="1"/>
    <n v="18"/>
    <n v="3"/>
    <n v="3"/>
    <n v="80"/>
    <n v="1"/>
    <n v="7"/>
    <n v="4"/>
    <n v="7"/>
    <n v="5"/>
    <n v="0"/>
    <n v="7"/>
  </r>
  <r>
    <s v="No"/>
    <s v="Travel_Rarely"/>
    <x v="2"/>
    <s v="Current Employees"/>
    <x v="1"/>
    <x v="2"/>
    <x v="60"/>
    <x v="60"/>
    <x v="1"/>
    <x v="3"/>
    <x v="1"/>
    <s v="Yes"/>
    <s v="Y"/>
    <n v="3"/>
    <n v="-2"/>
    <n v="0"/>
    <n v="32"/>
    <n v="0"/>
    <m/>
    <n v="0"/>
    <n v="1"/>
    <n v="427"/>
    <n v="1"/>
    <x v="3"/>
    <n v="1"/>
    <n v="1"/>
    <n v="33"/>
    <n v="3"/>
    <n v="2"/>
    <n v="4"/>
    <n v="6162"/>
    <n v="10877"/>
    <n v="1"/>
    <n v="22"/>
    <n v="4"/>
    <n v="2"/>
    <n v="80"/>
    <n v="1"/>
    <n v="9"/>
    <n v="3"/>
    <n v="9"/>
    <n v="8"/>
    <n v="7"/>
    <n v="8"/>
  </r>
  <r>
    <s v="No"/>
    <s v="Travel_Frequently"/>
    <x v="0"/>
    <s v="Current Employees"/>
    <x v="1"/>
    <x v="0"/>
    <x v="61"/>
    <x v="61"/>
    <x v="0"/>
    <x v="2"/>
    <x v="0"/>
    <s v="No"/>
    <s v="Y"/>
    <n v="2"/>
    <n v="-2"/>
    <n v="0"/>
    <n v="38"/>
    <n v="0"/>
    <m/>
    <n v="0"/>
    <n v="1"/>
    <n v="653"/>
    <n v="29"/>
    <x v="4"/>
    <n v="1"/>
    <n v="4"/>
    <n v="50"/>
    <n v="3"/>
    <n v="2"/>
    <n v="2"/>
    <n v="2406"/>
    <n v="5456"/>
    <n v="1"/>
    <n v="11"/>
    <n v="3"/>
    <n v="4"/>
    <n v="80"/>
    <n v="0"/>
    <n v="10"/>
    <n v="3"/>
    <n v="10"/>
    <n v="3"/>
    <n v="9"/>
    <n v="9"/>
  </r>
  <r>
    <s v="No"/>
    <s v="Travel_Rarely"/>
    <x v="1"/>
    <s v="Current Employees"/>
    <x v="1"/>
    <x v="2"/>
    <x v="62"/>
    <x v="62"/>
    <x v="0"/>
    <x v="7"/>
    <x v="2"/>
    <s v="Yes"/>
    <s v="Y"/>
    <n v="2"/>
    <n v="-2"/>
    <n v="0"/>
    <n v="50"/>
    <n v="0"/>
    <m/>
    <n v="0"/>
    <n v="1"/>
    <n v="989"/>
    <n v="7"/>
    <x v="0"/>
    <n v="1"/>
    <n v="2"/>
    <n v="43"/>
    <n v="2"/>
    <n v="5"/>
    <n v="3"/>
    <n v="18740"/>
    <n v="16701"/>
    <n v="5"/>
    <n v="12"/>
    <n v="3"/>
    <n v="4"/>
    <n v="80"/>
    <n v="1"/>
    <n v="29"/>
    <n v="2"/>
    <n v="27"/>
    <n v="3"/>
    <n v="13"/>
    <n v="8"/>
  </r>
  <r>
    <s v="No"/>
    <s v="Travel_Rarely"/>
    <x v="3"/>
    <s v="Current Employees"/>
    <x v="0"/>
    <x v="0"/>
    <x v="63"/>
    <x v="63"/>
    <x v="0"/>
    <x v="0"/>
    <x v="0"/>
    <s v="No"/>
    <s v="Y"/>
    <n v="3"/>
    <n v="-2"/>
    <n v="0"/>
    <n v="59"/>
    <n v="0"/>
    <m/>
    <n v="0"/>
    <n v="1"/>
    <n v="1435"/>
    <n v="25"/>
    <x v="3"/>
    <n v="1"/>
    <n v="1"/>
    <n v="99"/>
    <n v="3"/>
    <n v="3"/>
    <n v="2"/>
    <n v="7637"/>
    <n v="2354"/>
    <n v="7"/>
    <n v="11"/>
    <n v="3"/>
    <n v="4"/>
    <n v="80"/>
    <n v="0"/>
    <n v="28"/>
    <n v="2"/>
    <n v="21"/>
    <n v="16"/>
    <n v="7"/>
    <n v="9"/>
  </r>
  <r>
    <s v="No"/>
    <s v="Travel_Rarely"/>
    <x v="0"/>
    <s v="Current Employees"/>
    <x v="1"/>
    <x v="4"/>
    <x v="64"/>
    <x v="64"/>
    <x v="0"/>
    <x v="4"/>
    <x v="2"/>
    <s v="No"/>
    <s v="Y"/>
    <n v="2"/>
    <n v="-2"/>
    <n v="0"/>
    <n v="36"/>
    <n v="0"/>
    <m/>
    <n v="0"/>
    <n v="1"/>
    <n v="1223"/>
    <n v="8"/>
    <x v="3"/>
    <n v="1"/>
    <n v="3"/>
    <n v="59"/>
    <n v="3"/>
    <n v="3"/>
    <n v="3"/>
    <n v="10096"/>
    <n v="8202"/>
    <n v="1"/>
    <n v="13"/>
    <n v="3"/>
    <n v="2"/>
    <n v="80"/>
    <n v="3"/>
    <n v="17"/>
    <n v="3"/>
    <n v="17"/>
    <n v="14"/>
    <n v="12"/>
    <n v="8"/>
  </r>
  <r>
    <s v="No"/>
    <s v="Travel_Rarely"/>
    <x v="3"/>
    <s v="Current Employees"/>
    <x v="1"/>
    <x v="2"/>
    <x v="65"/>
    <x v="65"/>
    <x v="0"/>
    <x v="5"/>
    <x v="2"/>
    <s v="Yes"/>
    <s v="Y"/>
    <n v="2"/>
    <n v="-2"/>
    <n v="0"/>
    <n v="55"/>
    <n v="0"/>
    <m/>
    <n v="0"/>
    <n v="1"/>
    <n v="836"/>
    <n v="8"/>
    <x v="3"/>
    <n v="1"/>
    <n v="4"/>
    <n v="33"/>
    <n v="3"/>
    <n v="4"/>
    <n v="3"/>
    <n v="14756"/>
    <n v="19730"/>
    <n v="2"/>
    <n v="14"/>
    <n v="3"/>
    <n v="3"/>
    <n v="80"/>
    <n v="3"/>
    <n v="21"/>
    <n v="3"/>
    <n v="5"/>
    <n v="0"/>
    <n v="0"/>
    <n v="2"/>
  </r>
  <r>
    <s v="No"/>
    <s v="Travel_Frequently"/>
    <x v="0"/>
    <s v="Current Employees"/>
    <x v="1"/>
    <x v="0"/>
    <x v="66"/>
    <x v="66"/>
    <x v="1"/>
    <x v="3"/>
    <x v="0"/>
    <s v="No"/>
    <s v="Y"/>
    <n v="3"/>
    <n v="-2"/>
    <n v="0"/>
    <n v="36"/>
    <n v="0"/>
    <m/>
    <n v="0"/>
    <n v="1"/>
    <n v="1195"/>
    <n v="11"/>
    <x v="3"/>
    <n v="1"/>
    <n v="2"/>
    <n v="95"/>
    <n v="2"/>
    <n v="2"/>
    <n v="2"/>
    <n v="6499"/>
    <n v="22656"/>
    <n v="1"/>
    <n v="13"/>
    <n v="3"/>
    <n v="3"/>
    <n v="80"/>
    <n v="0"/>
    <n v="6"/>
    <n v="3"/>
    <n v="6"/>
    <n v="5"/>
    <n v="0"/>
    <n v="3"/>
  </r>
  <r>
    <s v="No"/>
    <s v="Travel_Rarely"/>
    <x v="1"/>
    <s v="Current Employees"/>
    <x v="1"/>
    <x v="0"/>
    <x v="67"/>
    <x v="67"/>
    <x v="1"/>
    <x v="1"/>
    <x v="2"/>
    <s v="No"/>
    <s v="Y"/>
    <n v="2"/>
    <n v="-2"/>
    <n v="0"/>
    <n v="45"/>
    <n v="0"/>
    <m/>
    <n v="0"/>
    <n v="1"/>
    <n v="1339"/>
    <n v="7"/>
    <x v="3"/>
    <n v="1"/>
    <n v="2"/>
    <n v="59"/>
    <n v="3"/>
    <n v="3"/>
    <n v="2"/>
    <n v="9724"/>
    <n v="18787"/>
    <n v="2"/>
    <n v="17"/>
    <n v="3"/>
    <n v="3"/>
    <n v="80"/>
    <n v="1"/>
    <n v="25"/>
    <n v="3"/>
    <n v="1"/>
    <n v="0"/>
    <n v="0"/>
    <n v="0"/>
  </r>
  <r>
    <s v="No"/>
    <s v="Travel_Frequently"/>
    <x v="0"/>
    <s v="Current Employees"/>
    <x v="1"/>
    <x v="2"/>
    <x v="68"/>
    <x v="68"/>
    <x v="1"/>
    <x v="1"/>
    <x v="1"/>
    <s v="No"/>
    <s v="Y"/>
    <n v="2"/>
    <n v="-2"/>
    <n v="0"/>
    <n v="35"/>
    <n v="0"/>
    <m/>
    <n v="0"/>
    <n v="1"/>
    <n v="664"/>
    <n v="1"/>
    <x v="3"/>
    <n v="1"/>
    <n v="2"/>
    <n v="79"/>
    <n v="3"/>
    <n v="1"/>
    <n v="4"/>
    <n v="2194"/>
    <n v="5868"/>
    <n v="4"/>
    <n v="13"/>
    <n v="3"/>
    <n v="4"/>
    <n v="80"/>
    <n v="1"/>
    <n v="5"/>
    <n v="2"/>
    <n v="3"/>
    <n v="2"/>
    <n v="1"/>
    <n v="2"/>
  </r>
  <r>
    <s v="Yes"/>
    <s v="Travel_Rarely"/>
    <x v="0"/>
    <s v="Ex-Employees"/>
    <x v="1"/>
    <x v="2"/>
    <x v="69"/>
    <x v="69"/>
    <x v="1"/>
    <x v="1"/>
    <x v="1"/>
    <s v="Yes"/>
    <s v="Y"/>
    <n v="0"/>
    <n v="-2"/>
    <n v="0"/>
    <n v="36"/>
    <n v="1"/>
    <n v="1"/>
    <n v="1"/>
    <n v="0"/>
    <n v="318"/>
    <n v="9"/>
    <x v="3"/>
    <n v="1"/>
    <n v="4"/>
    <n v="79"/>
    <n v="2"/>
    <n v="1"/>
    <n v="3"/>
    <n v="3388"/>
    <n v="21777"/>
    <n v="0"/>
    <n v="17"/>
    <n v="3"/>
    <n v="1"/>
    <n v="80"/>
    <n v="1"/>
    <n v="2"/>
    <n v="2"/>
    <n v="1"/>
    <n v="0"/>
    <n v="0"/>
    <n v="0"/>
  </r>
  <r>
    <s v="No"/>
    <s v="Travel_Frequently"/>
    <x v="3"/>
    <s v="Current Employees"/>
    <x v="0"/>
    <x v="0"/>
    <x v="70"/>
    <x v="70"/>
    <x v="0"/>
    <x v="0"/>
    <x v="0"/>
    <s v="No"/>
    <s v="Y"/>
    <n v="2"/>
    <n v="-2"/>
    <n v="0"/>
    <n v="59"/>
    <n v="0"/>
    <m/>
    <n v="0"/>
    <n v="1"/>
    <n v="1225"/>
    <n v="1"/>
    <x v="1"/>
    <n v="1"/>
    <n v="1"/>
    <n v="57"/>
    <n v="2"/>
    <n v="2"/>
    <n v="2"/>
    <n v="5473"/>
    <n v="24668"/>
    <n v="7"/>
    <n v="11"/>
    <n v="3"/>
    <n v="4"/>
    <n v="80"/>
    <n v="0"/>
    <n v="20"/>
    <n v="2"/>
    <n v="4"/>
    <n v="3"/>
    <n v="1"/>
    <n v="3"/>
  </r>
  <r>
    <s v="No"/>
    <s v="Travel_Rarely"/>
    <x v="2"/>
    <s v="Current Employees"/>
    <x v="1"/>
    <x v="0"/>
    <x v="71"/>
    <x v="71"/>
    <x v="1"/>
    <x v="1"/>
    <x v="1"/>
    <s v="No"/>
    <s v="Y"/>
    <n v="3"/>
    <n v="-2"/>
    <n v="0"/>
    <n v="29"/>
    <n v="0"/>
    <m/>
    <n v="0"/>
    <n v="1"/>
    <n v="1328"/>
    <n v="2"/>
    <x v="3"/>
    <n v="1"/>
    <n v="3"/>
    <n v="76"/>
    <n v="3"/>
    <n v="1"/>
    <n v="2"/>
    <n v="2703"/>
    <n v="4956"/>
    <n v="0"/>
    <n v="23"/>
    <n v="4"/>
    <n v="4"/>
    <n v="80"/>
    <n v="1"/>
    <n v="6"/>
    <n v="3"/>
    <n v="5"/>
    <n v="4"/>
    <n v="0"/>
    <n v="4"/>
  </r>
  <r>
    <s v="No"/>
    <s v="Travel_Rarely"/>
    <x v="2"/>
    <s v="Current Employees"/>
    <x v="1"/>
    <x v="2"/>
    <x v="72"/>
    <x v="72"/>
    <x v="1"/>
    <x v="1"/>
    <x v="0"/>
    <s v="No"/>
    <s v="Y"/>
    <n v="4"/>
    <n v="-2"/>
    <n v="0"/>
    <n v="31"/>
    <n v="0"/>
    <m/>
    <n v="0"/>
    <n v="1"/>
    <n v="1082"/>
    <n v="1"/>
    <x v="2"/>
    <n v="1"/>
    <n v="3"/>
    <n v="87"/>
    <n v="3"/>
    <n v="1"/>
    <n v="3"/>
    <n v="2501"/>
    <n v="18775"/>
    <n v="1"/>
    <n v="17"/>
    <n v="3"/>
    <n v="2"/>
    <n v="80"/>
    <n v="0"/>
    <n v="1"/>
    <n v="3"/>
    <n v="1"/>
    <n v="1"/>
    <n v="1"/>
    <n v="0"/>
  </r>
  <r>
    <s v="No"/>
    <s v="Travel_Rarely"/>
    <x v="2"/>
    <s v="Current Employees"/>
    <x v="1"/>
    <x v="0"/>
    <x v="73"/>
    <x v="73"/>
    <x v="1"/>
    <x v="1"/>
    <x v="1"/>
    <s v="No"/>
    <s v="Y"/>
    <n v="3"/>
    <n v="-2"/>
    <n v="0"/>
    <n v="32"/>
    <n v="0"/>
    <m/>
    <n v="0"/>
    <n v="1"/>
    <n v="548"/>
    <n v="1"/>
    <x v="3"/>
    <n v="1"/>
    <n v="2"/>
    <n v="66"/>
    <n v="3"/>
    <n v="2"/>
    <n v="2"/>
    <n v="6220"/>
    <n v="7346"/>
    <n v="1"/>
    <n v="17"/>
    <n v="3"/>
    <n v="2"/>
    <n v="80"/>
    <n v="2"/>
    <n v="10"/>
    <n v="3"/>
    <n v="10"/>
    <n v="4"/>
    <n v="0"/>
    <n v="9"/>
  </r>
  <r>
    <s v="No"/>
    <s v="Travel_Rarely"/>
    <x v="0"/>
    <s v="Current Employees"/>
    <x v="1"/>
    <x v="0"/>
    <x v="74"/>
    <x v="74"/>
    <x v="0"/>
    <x v="2"/>
    <x v="1"/>
    <s v="No"/>
    <s v="Y"/>
    <n v="3"/>
    <n v="-2"/>
    <n v="0"/>
    <n v="36"/>
    <n v="0"/>
    <m/>
    <n v="0"/>
    <n v="1"/>
    <n v="132"/>
    <n v="6"/>
    <x v="3"/>
    <n v="1"/>
    <n v="2"/>
    <n v="55"/>
    <n v="4"/>
    <n v="1"/>
    <n v="2"/>
    <n v="3038"/>
    <n v="22002"/>
    <n v="3"/>
    <n v="12"/>
    <n v="3"/>
    <n v="2"/>
    <n v="80"/>
    <n v="0"/>
    <n v="5"/>
    <n v="3"/>
    <n v="1"/>
    <n v="0"/>
    <n v="0"/>
    <n v="0"/>
  </r>
  <r>
    <s v="No"/>
    <s v="Travel_Rarely"/>
    <x v="2"/>
    <s v="Current Employees"/>
    <x v="1"/>
    <x v="0"/>
    <x v="75"/>
    <x v="75"/>
    <x v="0"/>
    <x v="3"/>
    <x v="0"/>
    <s v="No"/>
    <s v="Y"/>
    <n v="2"/>
    <n v="-2"/>
    <n v="0"/>
    <n v="31"/>
    <n v="0"/>
    <m/>
    <n v="0"/>
    <n v="1"/>
    <n v="746"/>
    <n v="8"/>
    <x v="2"/>
    <n v="1"/>
    <n v="3"/>
    <n v="61"/>
    <n v="3"/>
    <n v="2"/>
    <n v="2"/>
    <n v="4424"/>
    <n v="20682"/>
    <n v="1"/>
    <n v="23"/>
    <n v="4"/>
    <n v="4"/>
    <n v="80"/>
    <n v="0"/>
    <n v="11"/>
    <n v="3"/>
    <n v="11"/>
    <n v="7"/>
    <n v="1"/>
    <n v="8"/>
  </r>
  <r>
    <s v="No"/>
    <s v="Travel_Rarely"/>
    <x v="0"/>
    <s v="Current Employees"/>
    <x v="0"/>
    <x v="3"/>
    <x v="76"/>
    <x v="76"/>
    <x v="1"/>
    <x v="0"/>
    <x v="0"/>
    <s v="No"/>
    <s v="Y"/>
    <n v="2"/>
    <n v="-2"/>
    <n v="0"/>
    <n v="35"/>
    <n v="0"/>
    <m/>
    <n v="0"/>
    <n v="1"/>
    <n v="776"/>
    <n v="1"/>
    <x v="2"/>
    <n v="1"/>
    <n v="3"/>
    <n v="32"/>
    <n v="2"/>
    <n v="2"/>
    <n v="4"/>
    <n v="4312"/>
    <n v="23016"/>
    <n v="0"/>
    <n v="14"/>
    <n v="3"/>
    <n v="2"/>
    <n v="80"/>
    <n v="0"/>
    <n v="16"/>
    <n v="3"/>
    <n v="15"/>
    <n v="13"/>
    <n v="2"/>
    <n v="8"/>
  </r>
  <r>
    <s v="No"/>
    <s v="Travel_Rarely"/>
    <x v="1"/>
    <s v="Current Employees"/>
    <x v="1"/>
    <x v="1"/>
    <x v="77"/>
    <x v="77"/>
    <x v="1"/>
    <x v="7"/>
    <x v="1"/>
    <s v="Yes"/>
    <s v="Y"/>
    <n v="3"/>
    <n v="-2"/>
    <n v="0"/>
    <n v="45"/>
    <n v="0"/>
    <m/>
    <n v="0"/>
    <n v="1"/>
    <n v="193"/>
    <n v="6"/>
    <x v="2"/>
    <n v="1"/>
    <n v="4"/>
    <n v="52"/>
    <n v="3"/>
    <n v="3"/>
    <n v="4"/>
    <n v="13245"/>
    <n v="15067"/>
    <n v="4"/>
    <n v="14"/>
    <n v="3"/>
    <n v="2"/>
    <n v="80"/>
    <n v="0"/>
    <n v="17"/>
    <n v="4"/>
    <n v="0"/>
    <n v="0"/>
    <n v="0"/>
    <n v="0"/>
  </r>
  <r>
    <s v="No"/>
    <s v="Travel_Rarely"/>
    <x v="0"/>
    <s v="Current Employees"/>
    <x v="1"/>
    <x v="2"/>
    <x v="78"/>
    <x v="78"/>
    <x v="1"/>
    <x v="7"/>
    <x v="0"/>
    <s v="No"/>
    <s v="Y"/>
    <n v="3"/>
    <n v="-2"/>
    <n v="0"/>
    <n v="37"/>
    <n v="0"/>
    <m/>
    <n v="0"/>
    <n v="1"/>
    <n v="397"/>
    <n v="7"/>
    <x v="2"/>
    <n v="1"/>
    <n v="1"/>
    <n v="30"/>
    <n v="3"/>
    <n v="3"/>
    <n v="3"/>
    <n v="13664"/>
    <n v="25258"/>
    <n v="4"/>
    <n v="13"/>
    <n v="3"/>
    <n v="1"/>
    <n v="80"/>
    <n v="0"/>
    <n v="16"/>
    <n v="4"/>
    <n v="5"/>
    <n v="2"/>
    <n v="0"/>
    <n v="2"/>
  </r>
  <r>
    <s v="No"/>
    <s v="Travel_Rarely"/>
    <x v="1"/>
    <s v="Current Employees"/>
    <x v="2"/>
    <x v="2"/>
    <x v="79"/>
    <x v="79"/>
    <x v="1"/>
    <x v="8"/>
    <x v="2"/>
    <s v="Yes"/>
    <s v="Y"/>
    <n v="2"/>
    <n v="-2"/>
    <n v="0"/>
    <n v="46"/>
    <n v="0"/>
    <m/>
    <n v="0"/>
    <n v="1"/>
    <n v="945"/>
    <n v="5"/>
    <x v="0"/>
    <n v="1"/>
    <n v="2"/>
    <n v="80"/>
    <n v="3"/>
    <n v="2"/>
    <n v="3"/>
    <n v="5021"/>
    <n v="10425"/>
    <n v="8"/>
    <n v="22"/>
    <n v="4"/>
    <n v="4"/>
    <n v="80"/>
    <n v="1"/>
    <n v="16"/>
    <n v="3"/>
    <n v="4"/>
    <n v="2"/>
    <n v="0"/>
    <n v="2"/>
  </r>
  <r>
    <s v="No"/>
    <s v="Travel_Rarely"/>
    <x v="2"/>
    <s v="Current Employees"/>
    <x v="1"/>
    <x v="0"/>
    <x v="80"/>
    <x v="80"/>
    <x v="1"/>
    <x v="2"/>
    <x v="1"/>
    <s v="Yes"/>
    <s v="Y"/>
    <n v="1"/>
    <n v="-2"/>
    <n v="0"/>
    <n v="30"/>
    <n v="0"/>
    <m/>
    <n v="0"/>
    <n v="1"/>
    <n v="852"/>
    <n v="1"/>
    <x v="1"/>
    <n v="1"/>
    <n v="4"/>
    <n v="55"/>
    <n v="2"/>
    <n v="2"/>
    <n v="2"/>
    <n v="5126"/>
    <n v="15998"/>
    <n v="1"/>
    <n v="12"/>
    <n v="3"/>
    <n v="3"/>
    <n v="80"/>
    <n v="2"/>
    <n v="10"/>
    <n v="2"/>
    <n v="10"/>
    <n v="8"/>
    <n v="3"/>
    <n v="0"/>
  </r>
  <r>
    <s v="No"/>
    <s v="Travel_Rarely"/>
    <x v="0"/>
    <s v="Current Employees"/>
    <x v="1"/>
    <x v="2"/>
    <x v="81"/>
    <x v="81"/>
    <x v="1"/>
    <x v="1"/>
    <x v="0"/>
    <s v="No"/>
    <s v="Y"/>
    <n v="3"/>
    <n v="-2"/>
    <n v="0"/>
    <n v="35"/>
    <n v="0"/>
    <m/>
    <n v="0"/>
    <n v="1"/>
    <n v="1214"/>
    <n v="1"/>
    <x v="3"/>
    <n v="1"/>
    <n v="2"/>
    <n v="30"/>
    <n v="2"/>
    <n v="1"/>
    <n v="3"/>
    <n v="2859"/>
    <n v="26278"/>
    <n v="1"/>
    <n v="18"/>
    <n v="3"/>
    <n v="1"/>
    <n v="80"/>
    <n v="0"/>
    <n v="6"/>
    <n v="3"/>
    <n v="6"/>
    <n v="4"/>
    <n v="0"/>
    <n v="4"/>
  </r>
  <r>
    <s v="No"/>
    <s v="Travel_Rarely"/>
    <x v="3"/>
    <s v="Current Employees"/>
    <x v="0"/>
    <x v="0"/>
    <x v="82"/>
    <x v="82"/>
    <x v="1"/>
    <x v="0"/>
    <x v="1"/>
    <s v="No"/>
    <s v="Y"/>
    <n v="4"/>
    <n v="-2"/>
    <n v="0"/>
    <n v="55"/>
    <n v="0"/>
    <m/>
    <n v="0"/>
    <n v="1"/>
    <n v="111"/>
    <n v="1"/>
    <x v="0"/>
    <n v="1"/>
    <n v="1"/>
    <n v="70"/>
    <n v="3"/>
    <n v="3"/>
    <n v="2"/>
    <n v="10239"/>
    <n v="18092"/>
    <n v="3"/>
    <n v="14"/>
    <n v="3"/>
    <n v="4"/>
    <n v="80"/>
    <n v="1"/>
    <n v="24"/>
    <n v="3"/>
    <n v="1"/>
    <n v="0"/>
    <n v="1"/>
    <n v="0"/>
  </r>
  <r>
    <s v="No"/>
    <s v="Non-Travel"/>
    <x v="0"/>
    <s v="Current Employees"/>
    <x v="1"/>
    <x v="2"/>
    <x v="83"/>
    <x v="83"/>
    <x v="0"/>
    <x v="1"/>
    <x v="2"/>
    <s v="Yes"/>
    <s v="Y"/>
    <n v="3"/>
    <n v="-2"/>
    <n v="0"/>
    <n v="38"/>
    <n v="0"/>
    <m/>
    <n v="0"/>
    <n v="1"/>
    <n v="573"/>
    <n v="6"/>
    <x v="3"/>
    <n v="1"/>
    <n v="2"/>
    <n v="79"/>
    <n v="1"/>
    <n v="2"/>
    <n v="4"/>
    <n v="5329"/>
    <n v="15717"/>
    <n v="7"/>
    <n v="12"/>
    <n v="3"/>
    <n v="4"/>
    <n v="80"/>
    <n v="3"/>
    <n v="17"/>
    <n v="3"/>
    <n v="13"/>
    <n v="11"/>
    <n v="1"/>
    <n v="9"/>
  </r>
  <r>
    <s v="No"/>
    <s v="Travel_Rarely"/>
    <x v="2"/>
    <s v="Current Employees"/>
    <x v="1"/>
    <x v="2"/>
    <x v="84"/>
    <x v="84"/>
    <x v="1"/>
    <x v="3"/>
    <x v="1"/>
    <s v="No"/>
    <s v="Y"/>
    <n v="2"/>
    <n v="-2"/>
    <n v="0"/>
    <n v="34"/>
    <n v="0"/>
    <m/>
    <n v="0"/>
    <n v="1"/>
    <n v="1153"/>
    <n v="1"/>
    <x v="0"/>
    <n v="1"/>
    <n v="1"/>
    <n v="94"/>
    <n v="3"/>
    <n v="2"/>
    <n v="3"/>
    <n v="4325"/>
    <n v="17736"/>
    <n v="1"/>
    <n v="15"/>
    <n v="3"/>
    <n v="3"/>
    <n v="80"/>
    <n v="0"/>
    <n v="5"/>
    <n v="3"/>
    <n v="5"/>
    <n v="2"/>
    <n v="1"/>
    <n v="3"/>
  </r>
  <r>
    <s v="No"/>
    <s v="Travel_Rarely"/>
    <x v="3"/>
    <s v="Current Employees"/>
    <x v="1"/>
    <x v="0"/>
    <x v="85"/>
    <x v="85"/>
    <x v="1"/>
    <x v="3"/>
    <x v="0"/>
    <s v="No"/>
    <s v="Y"/>
    <n v="3"/>
    <n v="-2"/>
    <n v="0"/>
    <n v="56"/>
    <n v="0"/>
    <m/>
    <n v="0"/>
    <n v="1"/>
    <n v="1400"/>
    <n v="7"/>
    <x v="3"/>
    <n v="1"/>
    <n v="4"/>
    <n v="49"/>
    <n v="1"/>
    <n v="3"/>
    <n v="2"/>
    <n v="7260"/>
    <n v="21698"/>
    <n v="4"/>
    <n v="11"/>
    <n v="3"/>
    <n v="1"/>
    <n v="80"/>
    <n v="0"/>
    <n v="37"/>
    <n v="2"/>
    <n v="6"/>
    <n v="4"/>
    <n v="0"/>
    <n v="2"/>
  </r>
  <r>
    <s v="No"/>
    <s v="Travel_Rarely"/>
    <x v="4"/>
    <s v="Current Employees"/>
    <x v="0"/>
    <x v="4"/>
    <x v="86"/>
    <x v="86"/>
    <x v="1"/>
    <x v="6"/>
    <x v="2"/>
    <s v="No"/>
    <s v="Y"/>
    <n v="3"/>
    <n v="-2"/>
    <n v="0"/>
    <n v="23"/>
    <n v="0"/>
    <m/>
    <n v="0"/>
    <n v="1"/>
    <n v="541"/>
    <n v="2"/>
    <x v="1"/>
    <n v="1"/>
    <n v="3"/>
    <n v="62"/>
    <n v="3"/>
    <n v="1"/>
    <n v="4"/>
    <n v="2322"/>
    <n v="9518"/>
    <n v="3"/>
    <n v="13"/>
    <n v="3"/>
    <n v="3"/>
    <n v="80"/>
    <n v="1"/>
    <n v="3"/>
    <n v="3"/>
    <n v="0"/>
    <n v="0"/>
    <n v="0"/>
    <n v="0"/>
  </r>
  <r>
    <s v="No"/>
    <s v="Travel_Rarely"/>
    <x v="1"/>
    <s v="Current Employees"/>
    <x v="1"/>
    <x v="0"/>
    <x v="87"/>
    <x v="87"/>
    <x v="1"/>
    <x v="2"/>
    <x v="1"/>
    <s v="No"/>
    <s v="Y"/>
    <n v="4"/>
    <n v="-2"/>
    <n v="0"/>
    <n v="51"/>
    <n v="0"/>
    <m/>
    <n v="0"/>
    <n v="1"/>
    <n v="432"/>
    <n v="9"/>
    <x v="2"/>
    <n v="1"/>
    <n v="4"/>
    <n v="96"/>
    <n v="3"/>
    <n v="1"/>
    <n v="2"/>
    <n v="2075"/>
    <n v="18725"/>
    <n v="3"/>
    <n v="23"/>
    <n v="4"/>
    <n v="2"/>
    <n v="80"/>
    <n v="2"/>
    <n v="10"/>
    <n v="3"/>
    <n v="4"/>
    <n v="2"/>
    <n v="0"/>
    <n v="3"/>
  </r>
  <r>
    <s v="No"/>
    <s v="Travel_Rarely"/>
    <x v="2"/>
    <s v="Current Employees"/>
    <x v="1"/>
    <x v="0"/>
    <x v="88"/>
    <x v="88"/>
    <x v="1"/>
    <x v="4"/>
    <x v="1"/>
    <s v="No"/>
    <s v="Y"/>
    <n v="3"/>
    <n v="-2"/>
    <n v="0"/>
    <n v="30"/>
    <n v="0"/>
    <m/>
    <n v="0"/>
    <n v="1"/>
    <n v="288"/>
    <n v="2"/>
    <x v="3"/>
    <n v="1"/>
    <n v="3"/>
    <n v="99"/>
    <n v="2"/>
    <n v="2"/>
    <n v="2"/>
    <n v="4152"/>
    <n v="15830"/>
    <n v="1"/>
    <n v="19"/>
    <n v="3"/>
    <n v="1"/>
    <n v="80"/>
    <n v="3"/>
    <n v="11"/>
    <n v="3"/>
    <n v="11"/>
    <n v="10"/>
    <n v="10"/>
    <n v="8"/>
  </r>
  <r>
    <s v="Yes"/>
    <s v="Travel_Rarely"/>
    <x v="1"/>
    <s v="Ex-Employees"/>
    <x v="0"/>
    <x v="2"/>
    <x v="89"/>
    <x v="89"/>
    <x v="1"/>
    <x v="0"/>
    <x v="0"/>
    <s v="No"/>
    <s v="Y"/>
    <n v="3"/>
    <n v="-2"/>
    <n v="0"/>
    <n v="46"/>
    <n v="1"/>
    <n v="1"/>
    <n v="1"/>
    <n v="0"/>
    <n v="669"/>
    <n v="9"/>
    <x v="0"/>
    <n v="1"/>
    <n v="3"/>
    <n v="64"/>
    <n v="2"/>
    <n v="3"/>
    <n v="4"/>
    <n v="9619"/>
    <n v="13596"/>
    <n v="1"/>
    <n v="16"/>
    <n v="3"/>
    <n v="4"/>
    <n v="80"/>
    <n v="0"/>
    <n v="9"/>
    <n v="3"/>
    <n v="9"/>
    <n v="8"/>
    <n v="4"/>
    <n v="7"/>
  </r>
  <r>
    <s v="No"/>
    <s v="Travel_Frequently"/>
    <x v="0"/>
    <s v="Current Employees"/>
    <x v="1"/>
    <x v="0"/>
    <x v="90"/>
    <x v="90"/>
    <x v="1"/>
    <x v="4"/>
    <x v="1"/>
    <s v="No"/>
    <s v="Y"/>
    <n v="3"/>
    <n v="-2"/>
    <n v="0"/>
    <n v="40"/>
    <n v="0"/>
    <m/>
    <n v="0"/>
    <n v="1"/>
    <n v="530"/>
    <n v="1"/>
    <x v="2"/>
    <n v="1"/>
    <n v="3"/>
    <n v="78"/>
    <n v="2"/>
    <n v="4"/>
    <n v="2"/>
    <n v="13503"/>
    <n v="14115"/>
    <n v="1"/>
    <n v="22"/>
    <n v="4"/>
    <n v="4"/>
    <n v="80"/>
    <n v="1"/>
    <n v="22"/>
    <n v="2"/>
    <n v="22"/>
    <n v="3"/>
    <n v="11"/>
    <n v="11"/>
  </r>
  <r>
    <s v="No"/>
    <s v="Travel_Rarely"/>
    <x v="1"/>
    <s v="Current Employees"/>
    <x v="0"/>
    <x v="3"/>
    <x v="91"/>
    <x v="91"/>
    <x v="1"/>
    <x v="0"/>
    <x v="0"/>
    <s v="Yes"/>
    <s v="Y"/>
    <n v="2"/>
    <n v="-2"/>
    <n v="0"/>
    <n v="51"/>
    <n v="0"/>
    <m/>
    <n v="0"/>
    <n v="1"/>
    <n v="632"/>
    <n v="21"/>
    <x v="2"/>
    <n v="1"/>
    <n v="3"/>
    <n v="71"/>
    <n v="3"/>
    <n v="2"/>
    <n v="4"/>
    <n v="5441"/>
    <n v="8423"/>
    <n v="0"/>
    <n v="22"/>
    <n v="4"/>
    <n v="4"/>
    <n v="80"/>
    <n v="0"/>
    <n v="11"/>
    <n v="1"/>
    <n v="10"/>
    <n v="7"/>
    <n v="1"/>
    <n v="0"/>
  </r>
  <r>
    <s v="No"/>
    <s v="Travel_Rarely"/>
    <x v="2"/>
    <s v="Current Employees"/>
    <x v="0"/>
    <x v="2"/>
    <x v="92"/>
    <x v="92"/>
    <x v="0"/>
    <x v="0"/>
    <x v="2"/>
    <s v="Yes"/>
    <s v="Y"/>
    <n v="4"/>
    <n v="-2"/>
    <n v="0"/>
    <n v="30"/>
    <n v="0"/>
    <m/>
    <n v="0"/>
    <n v="1"/>
    <n v="1334"/>
    <n v="4"/>
    <x v="0"/>
    <n v="1"/>
    <n v="3"/>
    <n v="63"/>
    <n v="2"/>
    <n v="2"/>
    <n v="3"/>
    <n v="5209"/>
    <n v="19760"/>
    <n v="1"/>
    <n v="12"/>
    <n v="3"/>
    <n v="2"/>
    <n v="80"/>
    <n v="3"/>
    <n v="11"/>
    <n v="2"/>
    <n v="11"/>
    <n v="8"/>
    <n v="2"/>
    <n v="7"/>
  </r>
  <r>
    <s v="No"/>
    <s v="Travel_Frequently"/>
    <x v="1"/>
    <s v="Current Employees"/>
    <x v="1"/>
    <x v="2"/>
    <x v="93"/>
    <x v="93"/>
    <x v="1"/>
    <x v="4"/>
    <x v="1"/>
    <s v="Yes"/>
    <s v="Y"/>
    <n v="5"/>
    <n v="-2"/>
    <n v="0"/>
    <n v="46"/>
    <n v="0"/>
    <m/>
    <n v="0"/>
    <n v="1"/>
    <n v="638"/>
    <n v="1"/>
    <x v="3"/>
    <n v="1"/>
    <n v="3"/>
    <n v="40"/>
    <n v="2"/>
    <n v="3"/>
    <n v="4"/>
    <n v="10673"/>
    <n v="3142"/>
    <n v="2"/>
    <n v="13"/>
    <n v="3"/>
    <n v="3"/>
    <n v="80"/>
    <n v="1"/>
    <n v="21"/>
    <n v="2"/>
    <n v="10"/>
    <n v="9"/>
    <n v="9"/>
    <n v="5"/>
  </r>
  <r>
    <s v="No"/>
    <s v="Travel_Rarely"/>
    <x v="2"/>
    <s v="Current Employees"/>
    <x v="0"/>
    <x v="2"/>
    <x v="94"/>
    <x v="94"/>
    <x v="1"/>
    <x v="0"/>
    <x v="0"/>
    <s v="No"/>
    <s v="Y"/>
    <n v="0"/>
    <n v="-2"/>
    <n v="0"/>
    <n v="32"/>
    <n v="0"/>
    <m/>
    <n v="0"/>
    <n v="1"/>
    <n v="1093"/>
    <n v="6"/>
    <x v="2"/>
    <n v="1"/>
    <n v="2"/>
    <n v="87"/>
    <n v="3"/>
    <n v="2"/>
    <n v="3"/>
    <n v="5010"/>
    <n v="24301"/>
    <n v="1"/>
    <n v="16"/>
    <n v="3"/>
    <n v="1"/>
    <n v="80"/>
    <n v="0"/>
    <n v="12"/>
    <n v="3"/>
    <n v="11"/>
    <n v="8"/>
    <n v="5"/>
    <n v="7"/>
  </r>
  <r>
    <s v="No"/>
    <s v="Travel_Rarely"/>
    <x v="1"/>
    <s v="Current Employees"/>
    <x v="1"/>
    <x v="4"/>
    <x v="95"/>
    <x v="95"/>
    <x v="0"/>
    <x v="7"/>
    <x v="1"/>
    <s v="No"/>
    <s v="Y"/>
    <n v="5"/>
    <n v="-2"/>
    <n v="0"/>
    <n v="54"/>
    <n v="0"/>
    <m/>
    <n v="0"/>
    <n v="1"/>
    <n v="1217"/>
    <n v="2"/>
    <x v="2"/>
    <n v="1"/>
    <n v="1"/>
    <n v="60"/>
    <n v="3"/>
    <n v="3"/>
    <n v="3"/>
    <n v="13549"/>
    <n v="24001"/>
    <n v="9"/>
    <n v="12"/>
    <n v="3"/>
    <n v="1"/>
    <n v="80"/>
    <n v="1"/>
    <n v="16"/>
    <n v="1"/>
    <n v="4"/>
    <n v="3"/>
    <n v="0"/>
    <n v="3"/>
  </r>
  <r>
    <s v="No"/>
    <s v="Travel_Rarely"/>
    <x v="4"/>
    <s v="Current Employees"/>
    <x v="0"/>
    <x v="1"/>
    <x v="96"/>
    <x v="96"/>
    <x v="0"/>
    <x v="0"/>
    <x v="1"/>
    <s v="No"/>
    <s v="Y"/>
    <n v="2"/>
    <n v="-2"/>
    <n v="0"/>
    <n v="24"/>
    <n v="0"/>
    <m/>
    <n v="0"/>
    <n v="1"/>
    <n v="1353"/>
    <n v="3"/>
    <x v="0"/>
    <n v="1"/>
    <n v="1"/>
    <n v="33"/>
    <n v="3"/>
    <n v="2"/>
    <n v="3"/>
    <n v="4999"/>
    <n v="17519"/>
    <n v="0"/>
    <n v="21"/>
    <n v="4"/>
    <n v="1"/>
    <n v="80"/>
    <n v="1"/>
    <n v="4"/>
    <n v="2"/>
    <n v="3"/>
    <n v="2"/>
    <n v="0"/>
    <n v="2"/>
  </r>
  <r>
    <s v="No"/>
    <s v="Non-Travel"/>
    <x v="2"/>
    <s v="Current Employees"/>
    <x v="0"/>
    <x v="2"/>
    <x v="97"/>
    <x v="97"/>
    <x v="1"/>
    <x v="0"/>
    <x v="1"/>
    <s v="No"/>
    <s v="Y"/>
    <n v="3"/>
    <n v="-2"/>
    <n v="0"/>
    <n v="28"/>
    <n v="0"/>
    <m/>
    <n v="0"/>
    <n v="1"/>
    <n v="120"/>
    <n v="4"/>
    <x v="3"/>
    <n v="1"/>
    <n v="2"/>
    <n v="43"/>
    <n v="3"/>
    <n v="2"/>
    <n v="3"/>
    <n v="4221"/>
    <n v="8863"/>
    <n v="1"/>
    <n v="15"/>
    <n v="3"/>
    <n v="2"/>
    <n v="80"/>
    <n v="0"/>
    <n v="5"/>
    <n v="4"/>
    <n v="5"/>
    <n v="4"/>
    <n v="0"/>
    <n v="4"/>
  </r>
  <r>
    <s v="No"/>
    <s v="Travel_Rarely"/>
    <x v="3"/>
    <s v="Current Employees"/>
    <x v="0"/>
    <x v="2"/>
    <x v="98"/>
    <x v="98"/>
    <x v="1"/>
    <x v="0"/>
    <x v="0"/>
    <s v="No"/>
    <s v="Y"/>
    <n v="1"/>
    <n v="-2"/>
    <n v="0"/>
    <n v="58"/>
    <n v="0"/>
    <m/>
    <n v="0"/>
    <n v="1"/>
    <n v="682"/>
    <n v="10"/>
    <x v="2"/>
    <n v="1"/>
    <n v="4"/>
    <n v="37"/>
    <n v="3"/>
    <n v="4"/>
    <n v="3"/>
    <n v="13872"/>
    <n v="24409"/>
    <n v="0"/>
    <n v="13"/>
    <n v="3"/>
    <n v="3"/>
    <n v="80"/>
    <n v="0"/>
    <n v="38"/>
    <n v="2"/>
    <n v="37"/>
    <n v="10"/>
    <n v="1"/>
    <n v="8"/>
  </r>
  <r>
    <s v="No"/>
    <s v="Non-Travel"/>
    <x v="0"/>
    <s v="Current Employees"/>
    <x v="1"/>
    <x v="2"/>
    <x v="99"/>
    <x v="99"/>
    <x v="1"/>
    <x v="2"/>
    <x v="1"/>
    <s v="No"/>
    <s v="Y"/>
    <n v="3"/>
    <n v="-2"/>
    <n v="0"/>
    <n v="44"/>
    <n v="0"/>
    <m/>
    <n v="0"/>
    <n v="1"/>
    <n v="489"/>
    <n v="23"/>
    <x v="3"/>
    <n v="1"/>
    <n v="2"/>
    <n v="67"/>
    <n v="3"/>
    <n v="2"/>
    <n v="3"/>
    <n v="2042"/>
    <n v="25043"/>
    <n v="4"/>
    <n v="12"/>
    <n v="3"/>
    <n v="3"/>
    <n v="80"/>
    <n v="1"/>
    <n v="17"/>
    <n v="4"/>
    <n v="3"/>
    <n v="2"/>
    <n v="1"/>
    <n v="2"/>
  </r>
  <r>
    <s v="Yes"/>
    <s v="Travel_Rarely"/>
    <x v="0"/>
    <s v="Ex-Employees"/>
    <x v="2"/>
    <x v="5"/>
    <x v="100"/>
    <x v="100"/>
    <x v="1"/>
    <x v="8"/>
    <x v="2"/>
    <s v="Yes"/>
    <s v="Y"/>
    <n v="3"/>
    <n v="-2"/>
    <n v="0"/>
    <n v="37"/>
    <n v="1"/>
    <n v="1"/>
    <n v="1"/>
    <n v="0"/>
    <n v="807"/>
    <n v="6"/>
    <x v="2"/>
    <n v="1"/>
    <n v="3"/>
    <n v="63"/>
    <n v="3"/>
    <n v="1"/>
    <n v="4"/>
    <n v="2073"/>
    <n v="23648"/>
    <n v="4"/>
    <n v="22"/>
    <n v="4"/>
    <n v="4"/>
    <n v="80"/>
    <n v="0"/>
    <n v="7"/>
    <n v="3"/>
    <n v="3"/>
    <n v="2"/>
    <n v="0"/>
    <n v="2"/>
  </r>
  <r>
    <s v="No"/>
    <s v="Travel_Rarely"/>
    <x v="2"/>
    <s v="Current Employees"/>
    <x v="1"/>
    <x v="0"/>
    <x v="101"/>
    <x v="101"/>
    <x v="1"/>
    <x v="1"/>
    <x v="0"/>
    <s v="No"/>
    <s v="Y"/>
    <n v="2"/>
    <n v="-2"/>
    <n v="0"/>
    <n v="32"/>
    <n v="0"/>
    <m/>
    <n v="0"/>
    <n v="1"/>
    <n v="827"/>
    <n v="1"/>
    <x v="1"/>
    <n v="1"/>
    <n v="4"/>
    <n v="71"/>
    <n v="3"/>
    <n v="1"/>
    <n v="2"/>
    <n v="2956"/>
    <n v="15178"/>
    <n v="1"/>
    <n v="13"/>
    <n v="3"/>
    <n v="4"/>
    <n v="80"/>
    <n v="0"/>
    <n v="1"/>
    <n v="3"/>
    <n v="1"/>
    <n v="0"/>
    <n v="0"/>
    <n v="0"/>
  </r>
  <r>
    <s v="Yes"/>
    <s v="Travel_Frequently"/>
    <x v="4"/>
    <s v="Ex-Employees"/>
    <x v="1"/>
    <x v="0"/>
    <x v="102"/>
    <x v="102"/>
    <x v="0"/>
    <x v="2"/>
    <x v="0"/>
    <s v="Yes"/>
    <s v="Y"/>
    <n v="5"/>
    <n v="-2"/>
    <n v="0"/>
    <n v="20"/>
    <n v="1"/>
    <n v="1"/>
    <n v="1"/>
    <n v="0"/>
    <n v="871"/>
    <n v="6"/>
    <x v="3"/>
    <n v="1"/>
    <n v="4"/>
    <n v="66"/>
    <n v="2"/>
    <n v="1"/>
    <n v="2"/>
    <n v="2926"/>
    <n v="19783"/>
    <n v="1"/>
    <n v="18"/>
    <n v="3"/>
    <n v="2"/>
    <n v="80"/>
    <n v="0"/>
    <n v="1"/>
    <n v="3"/>
    <n v="1"/>
    <n v="0"/>
    <n v="1"/>
    <n v="0"/>
  </r>
  <r>
    <s v="No"/>
    <s v="Travel_Rarely"/>
    <x v="2"/>
    <s v="Current Employees"/>
    <x v="1"/>
    <x v="1"/>
    <x v="103"/>
    <x v="103"/>
    <x v="0"/>
    <x v="1"/>
    <x v="0"/>
    <s v="No"/>
    <s v="Y"/>
    <n v="3"/>
    <n v="-2"/>
    <n v="0"/>
    <n v="34"/>
    <n v="0"/>
    <m/>
    <n v="0"/>
    <n v="1"/>
    <n v="665"/>
    <n v="6"/>
    <x v="2"/>
    <n v="1"/>
    <n v="1"/>
    <n v="41"/>
    <n v="3"/>
    <n v="2"/>
    <n v="3"/>
    <n v="4809"/>
    <n v="12482"/>
    <n v="1"/>
    <n v="14"/>
    <n v="3"/>
    <n v="3"/>
    <n v="80"/>
    <n v="0"/>
    <n v="16"/>
    <n v="3"/>
    <n v="16"/>
    <n v="13"/>
    <n v="2"/>
    <n v="10"/>
  </r>
  <r>
    <s v="No"/>
    <s v="Non-Travel"/>
    <x v="0"/>
    <s v="Current Employees"/>
    <x v="1"/>
    <x v="0"/>
    <x v="104"/>
    <x v="104"/>
    <x v="1"/>
    <x v="4"/>
    <x v="2"/>
    <s v="No"/>
    <s v="Y"/>
    <n v="2"/>
    <n v="-2"/>
    <n v="0"/>
    <n v="37"/>
    <n v="0"/>
    <m/>
    <n v="0"/>
    <n v="1"/>
    <n v="1040"/>
    <n v="2"/>
    <x v="0"/>
    <n v="1"/>
    <n v="3"/>
    <n v="100"/>
    <n v="2"/>
    <n v="2"/>
    <n v="2"/>
    <n v="5163"/>
    <n v="15850"/>
    <n v="5"/>
    <n v="14"/>
    <n v="3"/>
    <n v="4"/>
    <n v="80"/>
    <n v="1"/>
    <n v="17"/>
    <n v="4"/>
    <n v="1"/>
    <n v="0"/>
    <n v="0"/>
    <n v="0"/>
  </r>
  <r>
    <s v="No"/>
    <s v="Non-Travel"/>
    <x v="3"/>
    <s v="Current Employees"/>
    <x v="2"/>
    <x v="5"/>
    <x v="105"/>
    <x v="105"/>
    <x v="0"/>
    <x v="5"/>
    <x v="1"/>
    <s v="No"/>
    <s v="Y"/>
    <n v="3"/>
    <n v="-2"/>
    <n v="0"/>
    <n v="59"/>
    <n v="0"/>
    <m/>
    <n v="0"/>
    <n v="1"/>
    <n v="1420"/>
    <n v="2"/>
    <x v="2"/>
    <n v="1"/>
    <n v="3"/>
    <n v="32"/>
    <n v="2"/>
    <n v="5"/>
    <n v="4"/>
    <n v="18844"/>
    <n v="21922"/>
    <n v="9"/>
    <n v="21"/>
    <n v="4"/>
    <n v="4"/>
    <n v="80"/>
    <n v="1"/>
    <n v="30"/>
    <n v="3"/>
    <n v="3"/>
    <n v="2"/>
    <n v="2"/>
    <n v="2"/>
  </r>
  <r>
    <s v="No"/>
    <s v="Travel_Frequently"/>
    <x v="1"/>
    <s v="Current Employees"/>
    <x v="1"/>
    <x v="0"/>
    <x v="106"/>
    <x v="106"/>
    <x v="0"/>
    <x v="7"/>
    <x v="1"/>
    <s v="Yes"/>
    <s v="Y"/>
    <n v="1"/>
    <n v="-2"/>
    <n v="0"/>
    <n v="50"/>
    <n v="0"/>
    <m/>
    <n v="0"/>
    <n v="1"/>
    <n v="1115"/>
    <n v="1"/>
    <x v="3"/>
    <n v="1"/>
    <n v="1"/>
    <n v="73"/>
    <n v="3"/>
    <n v="5"/>
    <n v="2"/>
    <n v="18172"/>
    <n v="9755"/>
    <n v="3"/>
    <n v="19"/>
    <n v="3"/>
    <n v="1"/>
    <n v="80"/>
    <n v="0"/>
    <n v="28"/>
    <n v="2"/>
    <n v="8"/>
    <n v="3"/>
    <n v="0"/>
    <n v="7"/>
  </r>
  <r>
    <s v="Yes"/>
    <s v="Travel_Rarely"/>
    <x v="2"/>
    <s v="Ex-Employees"/>
    <x v="0"/>
    <x v="3"/>
    <x v="107"/>
    <x v="107"/>
    <x v="1"/>
    <x v="0"/>
    <x v="0"/>
    <s v="Yes"/>
    <s v="Y"/>
    <n v="1"/>
    <n v="-2"/>
    <n v="0"/>
    <n v="25"/>
    <n v="1"/>
    <n v="1"/>
    <n v="1"/>
    <n v="0"/>
    <n v="240"/>
    <n v="5"/>
    <x v="3"/>
    <n v="1"/>
    <n v="3"/>
    <n v="46"/>
    <n v="2"/>
    <n v="2"/>
    <n v="3"/>
    <n v="5744"/>
    <n v="26959"/>
    <n v="1"/>
    <n v="11"/>
    <n v="3"/>
    <n v="4"/>
    <n v="80"/>
    <n v="0"/>
    <n v="6"/>
    <n v="3"/>
    <n v="6"/>
    <n v="4"/>
    <n v="0"/>
    <n v="3"/>
  </r>
  <r>
    <s v="No"/>
    <s v="Travel_Rarely"/>
    <x v="2"/>
    <s v="Current Employees"/>
    <x v="1"/>
    <x v="2"/>
    <x v="108"/>
    <x v="108"/>
    <x v="1"/>
    <x v="1"/>
    <x v="1"/>
    <s v="No"/>
    <s v="Y"/>
    <n v="2"/>
    <n v="-2"/>
    <n v="0"/>
    <n v="25"/>
    <n v="0"/>
    <m/>
    <n v="0"/>
    <n v="1"/>
    <n v="1280"/>
    <n v="7"/>
    <x v="1"/>
    <n v="1"/>
    <n v="4"/>
    <n v="64"/>
    <n v="2"/>
    <n v="1"/>
    <n v="4"/>
    <n v="2889"/>
    <n v="26897"/>
    <n v="1"/>
    <n v="11"/>
    <n v="3"/>
    <n v="3"/>
    <n v="80"/>
    <n v="2"/>
    <n v="2"/>
    <n v="3"/>
    <n v="2"/>
    <n v="2"/>
    <n v="2"/>
    <n v="1"/>
  </r>
  <r>
    <s v="No"/>
    <s v="Travel_Rarely"/>
    <x v="4"/>
    <s v="Current Employees"/>
    <x v="1"/>
    <x v="2"/>
    <x v="109"/>
    <x v="109"/>
    <x v="0"/>
    <x v="2"/>
    <x v="0"/>
    <s v="No"/>
    <s v="Y"/>
    <n v="5"/>
    <n v="-2"/>
    <n v="0"/>
    <n v="22"/>
    <n v="0"/>
    <m/>
    <n v="0"/>
    <n v="1"/>
    <n v="534"/>
    <n v="15"/>
    <x v="3"/>
    <n v="1"/>
    <n v="2"/>
    <n v="59"/>
    <n v="3"/>
    <n v="1"/>
    <n v="4"/>
    <n v="2871"/>
    <n v="23785"/>
    <n v="1"/>
    <n v="15"/>
    <n v="3"/>
    <n v="3"/>
    <n v="80"/>
    <n v="0"/>
    <n v="1"/>
    <n v="3"/>
    <n v="0"/>
    <n v="0"/>
    <n v="0"/>
    <n v="0"/>
  </r>
  <r>
    <s v="No"/>
    <s v="Travel_Frequently"/>
    <x v="1"/>
    <s v="Current Employees"/>
    <x v="1"/>
    <x v="2"/>
    <x v="110"/>
    <x v="110"/>
    <x v="0"/>
    <x v="4"/>
    <x v="0"/>
    <s v="No"/>
    <s v="Y"/>
    <n v="1"/>
    <n v="-2"/>
    <n v="0"/>
    <n v="51"/>
    <n v="0"/>
    <m/>
    <n v="0"/>
    <n v="1"/>
    <n v="1456"/>
    <n v="1"/>
    <x v="2"/>
    <n v="1"/>
    <n v="1"/>
    <n v="30"/>
    <n v="2"/>
    <n v="3"/>
    <n v="4"/>
    <n v="7484"/>
    <n v="25796"/>
    <n v="3"/>
    <n v="20"/>
    <n v="4"/>
    <n v="3"/>
    <n v="80"/>
    <n v="0"/>
    <n v="23"/>
    <n v="2"/>
    <n v="13"/>
    <n v="12"/>
    <n v="12"/>
    <n v="8"/>
  </r>
  <r>
    <s v="Yes"/>
    <s v="Travel_Frequently"/>
    <x v="2"/>
    <s v="Ex-Employees"/>
    <x v="1"/>
    <x v="0"/>
    <x v="111"/>
    <x v="111"/>
    <x v="1"/>
    <x v="2"/>
    <x v="0"/>
    <s v="Yes"/>
    <s v="Y"/>
    <n v="3"/>
    <n v="-2"/>
    <n v="0"/>
    <n v="34"/>
    <n v="1"/>
    <n v="1"/>
    <n v="1"/>
    <n v="0"/>
    <n v="658"/>
    <n v="7"/>
    <x v="3"/>
    <n v="1"/>
    <n v="1"/>
    <n v="66"/>
    <n v="1"/>
    <n v="2"/>
    <n v="2"/>
    <n v="6074"/>
    <n v="22887"/>
    <n v="1"/>
    <n v="24"/>
    <n v="4"/>
    <n v="4"/>
    <n v="80"/>
    <n v="0"/>
    <n v="9"/>
    <n v="3"/>
    <n v="9"/>
    <n v="7"/>
    <n v="0"/>
    <n v="6"/>
  </r>
  <r>
    <s v="No"/>
    <s v="Non-Travel"/>
    <x v="1"/>
    <s v="Current Employees"/>
    <x v="2"/>
    <x v="5"/>
    <x v="112"/>
    <x v="112"/>
    <x v="0"/>
    <x v="5"/>
    <x v="0"/>
    <s v="Yes"/>
    <s v="Y"/>
    <n v="3"/>
    <n v="-2"/>
    <n v="0"/>
    <n v="54"/>
    <n v="0"/>
    <m/>
    <n v="0"/>
    <n v="1"/>
    <n v="142"/>
    <n v="26"/>
    <x v="3"/>
    <n v="1"/>
    <n v="4"/>
    <n v="30"/>
    <n v="4"/>
    <n v="4"/>
    <n v="4"/>
    <n v="17328"/>
    <n v="13871"/>
    <n v="2"/>
    <n v="12"/>
    <n v="3"/>
    <n v="3"/>
    <n v="80"/>
    <n v="0"/>
    <n v="23"/>
    <n v="3"/>
    <n v="5"/>
    <n v="3"/>
    <n v="4"/>
    <n v="4"/>
  </r>
  <r>
    <s v="No"/>
    <s v="Travel_Rarely"/>
    <x v="4"/>
    <s v="Current Employees"/>
    <x v="1"/>
    <x v="0"/>
    <x v="113"/>
    <x v="113"/>
    <x v="1"/>
    <x v="2"/>
    <x v="1"/>
    <s v="No"/>
    <s v="Y"/>
    <n v="2"/>
    <n v="-2"/>
    <n v="0"/>
    <n v="24"/>
    <n v="0"/>
    <m/>
    <n v="0"/>
    <n v="1"/>
    <n v="1127"/>
    <n v="18"/>
    <x v="1"/>
    <n v="1"/>
    <n v="2"/>
    <n v="52"/>
    <n v="3"/>
    <n v="1"/>
    <n v="2"/>
    <n v="2774"/>
    <n v="13257"/>
    <n v="0"/>
    <n v="12"/>
    <n v="3"/>
    <n v="3"/>
    <n v="80"/>
    <n v="1"/>
    <n v="6"/>
    <n v="3"/>
    <n v="5"/>
    <n v="3"/>
    <n v="1"/>
    <n v="2"/>
  </r>
  <r>
    <s v="No"/>
    <s v="Travel_Rarely"/>
    <x v="2"/>
    <s v="Current Employees"/>
    <x v="1"/>
    <x v="0"/>
    <x v="114"/>
    <x v="114"/>
    <x v="0"/>
    <x v="1"/>
    <x v="2"/>
    <s v="No"/>
    <s v="Y"/>
    <n v="3"/>
    <n v="-2"/>
    <n v="0"/>
    <n v="34"/>
    <n v="0"/>
    <m/>
    <n v="0"/>
    <n v="1"/>
    <n v="1031"/>
    <n v="6"/>
    <x v="2"/>
    <n v="1"/>
    <n v="3"/>
    <n v="45"/>
    <n v="2"/>
    <n v="2"/>
    <n v="2"/>
    <n v="4505"/>
    <n v="15000"/>
    <n v="6"/>
    <n v="15"/>
    <n v="3"/>
    <n v="3"/>
    <n v="80"/>
    <n v="1"/>
    <n v="12"/>
    <n v="3"/>
    <n v="1"/>
    <n v="0"/>
    <n v="0"/>
    <n v="0"/>
  </r>
  <r>
    <s v="No"/>
    <s v="Travel_Rarely"/>
    <x v="0"/>
    <s v="Current Employees"/>
    <x v="0"/>
    <x v="0"/>
    <x v="115"/>
    <x v="115"/>
    <x v="1"/>
    <x v="0"/>
    <x v="0"/>
    <s v="No"/>
    <s v="Y"/>
    <n v="3"/>
    <n v="-2"/>
    <n v="0"/>
    <n v="37"/>
    <n v="0"/>
    <m/>
    <n v="0"/>
    <n v="1"/>
    <n v="1189"/>
    <n v="3"/>
    <x v="3"/>
    <n v="1"/>
    <n v="3"/>
    <n v="87"/>
    <n v="3"/>
    <n v="3"/>
    <n v="2"/>
    <n v="7428"/>
    <n v="14506"/>
    <n v="2"/>
    <n v="12"/>
    <n v="3"/>
    <n v="1"/>
    <n v="80"/>
    <n v="0"/>
    <n v="12"/>
    <n v="3"/>
    <n v="5"/>
    <n v="3"/>
    <n v="1"/>
    <n v="3"/>
  </r>
  <r>
    <s v="No"/>
    <s v="Travel_Rarely"/>
    <x v="2"/>
    <s v="Current Employees"/>
    <x v="1"/>
    <x v="2"/>
    <x v="116"/>
    <x v="116"/>
    <x v="0"/>
    <x v="5"/>
    <x v="0"/>
    <s v="No"/>
    <s v="Y"/>
    <n v="6"/>
    <n v="-2"/>
    <n v="0"/>
    <n v="34"/>
    <n v="0"/>
    <m/>
    <n v="0"/>
    <n v="1"/>
    <n v="1354"/>
    <n v="5"/>
    <x v="3"/>
    <n v="1"/>
    <n v="3"/>
    <n v="45"/>
    <n v="2"/>
    <n v="3"/>
    <n v="4"/>
    <n v="11631"/>
    <n v="5615"/>
    <n v="2"/>
    <n v="12"/>
    <n v="3"/>
    <n v="4"/>
    <n v="80"/>
    <n v="0"/>
    <n v="14"/>
    <n v="3"/>
    <n v="11"/>
    <n v="10"/>
    <n v="5"/>
    <n v="8"/>
  </r>
  <r>
    <s v="No"/>
    <s v="Travel_Frequently"/>
    <x v="0"/>
    <s v="Current Employees"/>
    <x v="0"/>
    <x v="4"/>
    <x v="117"/>
    <x v="117"/>
    <x v="0"/>
    <x v="0"/>
    <x v="1"/>
    <s v="No"/>
    <s v="Y"/>
    <n v="6"/>
    <n v="-2"/>
    <n v="0"/>
    <n v="36"/>
    <n v="0"/>
    <m/>
    <n v="0"/>
    <n v="1"/>
    <n v="1467"/>
    <n v="11"/>
    <x v="0"/>
    <n v="1"/>
    <n v="2"/>
    <n v="92"/>
    <n v="3"/>
    <n v="3"/>
    <n v="4"/>
    <n v="9738"/>
    <n v="22952"/>
    <n v="0"/>
    <n v="14"/>
    <n v="3"/>
    <n v="3"/>
    <n v="80"/>
    <n v="1"/>
    <n v="10"/>
    <n v="3"/>
    <n v="9"/>
    <n v="7"/>
    <n v="2"/>
    <n v="8"/>
  </r>
  <r>
    <s v="No"/>
    <s v="Travel_Rarely"/>
    <x v="0"/>
    <s v="Current Employees"/>
    <x v="1"/>
    <x v="0"/>
    <x v="118"/>
    <x v="118"/>
    <x v="0"/>
    <x v="2"/>
    <x v="2"/>
    <s v="No"/>
    <s v="Y"/>
    <n v="2"/>
    <n v="-2"/>
    <n v="0"/>
    <n v="36"/>
    <n v="0"/>
    <m/>
    <n v="0"/>
    <n v="1"/>
    <n v="922"/>
    <n v="3"/>
    <x v="0"/>
    <n v="1"/>
    <n v="1"/>
    <n v="39"/>
    <n v="3"/>
    <n v="1"/>
    <n v="2"/>
    <n v="2835"/>
    <n v="2561"/>
    <n v="5"/>
    <n v="22"/>
    <n v="4"/>
    <n v="1"/>
    <n v="80"/>
    <n v="1"/>
    <n v="7"/>
    <n v="3"/>
    <n v="1"/>
    <n v="0"/>
    <n v="0"/>
    <n v="0"/>
  </r>
  <r>
    <s v="No"/>
    <s v="Travel_Frequently"/>
    <x v="0"/>
    <s v="Current Employees"/>
    <x v="0"/>
    <x v="0"/>
    <x v="119"/>
    <x v="119"/>
    <x v="1"/>
    <x v="5"/>
    <x v="1"/>
    <s v="Yes"/>
    <s v="Y"/>
    <n v="3"/>
    <n v="-2"/>
    <n v="0"/>
    <n v="43"/>
    <n v="0"/>
    <m/>
    <n v="0"/>
    <n v="1"/>
    <n v="394"/>
    <n v="26"/>
    <x v="0"/>
    <n v="1"/>
    <n v="3"/>
    <n v="92"/>
    <n v="3"/>
    <n v="4"/>
    <n v="2"/>
    <n v="16959"/>
    <n v="19494"/>
    <n v="1"/>
    <n v="12"/>
    <n v="3"/>
    <n v="4"/>
    <n v="80"/>
    <n v="2"/>
    <n v="25"/>
    <n v="4"/>
    <n v="25"/>
    <n v="12"/>
    <n v="4"/>
    <n v="12"/>
  </r>
  <r>
    <s v="No"/>
    <s v="Travel_Frequently"/>
    <x v="2"/>
    <s v="Current Employees"/>
    <x v="1"/>
    <x v="0"/>
    <x v="120"/>
    <x v="120"/>
    <x v="1"/>
    <x v="1"/>
    <x v="2"/>
    <s v="No"/>
    <s v="Y"/>
    <n v="2"/>
    <n v="-2"/>
    <n v="0"/>
    <n v="30"/>
    <n v="0"/>
    <m/>
    <n v="0"/>
    <n v="1"/>
    <n v="1312"/>
    <n v="23"/>
    <x v="3"/>
    <n v="1"/>
    <n v="1"/>
    <n v="96"/>
    <n v="1"/>
    <n v="1"/>
    <n v="2"/>
    <n v="2613"/>
    <n v="22310"/>
    <n v="1"/>
    <n v="25"/>
    <n v="4"/>
    <n v="3"/>
    <n v="80"/>
    <n v="3"/>
    <n v="10"/>
    <n v="2"/>
    <n v="10"/>
    <n v="7"/>
    <n v="0"/>
    <n v="9"/>
  </r>
  <r>
    <s v="No"/>
    <s v="Non-Travel"/>
    <x v="2"/>
    <s v="Current Employees"/>
    <x v="0"/>
    <x v="3"/>
    <x v="121"/>
    <x v="121"/>
    <x v="1"/>
    <x v="0"/>
    <x v="1"/>
    <s v="No"/>
    <s v="Y"/>
    <n v="2"/>
    <n v="-2"/>
    <n v="0"/>
    <n v="33"/>
    <n v="0"/>
    <m/>
    <n v="0"/>
    <n v="1"/>
    <n v="750"/>
    <n v="22"/>
    <x v="0"/>
    <n v="1"/>
    <n v="3"/>
    <n v="95"/>
    <n v="3"/>
    <n v="2"/>
    <n v="3"/>
    <n v="6146"/>
    <n v="15480"/>
    <n v="0"/>
    <n v="13"/>
    <n v="3"/>
    <n v="1"/>
    <n v="80"/>
    <n v="1"/>
    <n v="8"/>
    <n v="4"/>
    <n v="7"/>
    <n v="7"/>
    <n v="0"/>
    <n v="7"/>
  </r>
  <r>
    <s v="Yes"/>
    <s v="Travel_Rarely"/>
    <x v="3"/>
    <s v="Ex-Employees"/>
    <x v="1"/>
    <x v="0"/>
    <x v="122"/>
    <x v="122"/>
    <x v="0"/>
    <x v="1"/>
    <x v="1"/>
    <s v="Yes"/>
    <s v="Y"/>
    <n v="2"/>
    <n v="-2"/>
    <n v="0"/>
    <n v="56"/>
    <n v="1"/>
    <n v="1"/>
    <n v="1"/>
    <n v="0"/>
    <n v="441"/>
    <n v="14"/>
    <x v="2"/>
    <n v="1"/>
    <n v="2"/>
    <n v="72"/>
    <n v="3"/>
    <n v="1"/>
    <n v="2"/>
    <n v="4963"/>
    <n v="4510"/>
    <n v="9"/>
    <n v="18"/>
    <n v="3"/>
    <n v="1"/>
    <n v="80"/>
    <n v="3"/>
    <n v="7"/>
    <n v="3"/>
    <n v="5"/>
    <n v="4"/>
    <n v="4"/>
    <n v="3"/>
  </r>
  <r>
    <s v="No"/>
    <s v="Travel_Rarely"/>
    <x v="1"/>
    <s v="Current Employees"/>
    <x v="1"/>
    <x v="0"/>
    <x v="123"/>
    <x v="123"/>
    <x v="1"/>
    <x v="7"/>
    <x v="0"/>
    <s v="No"/>
    <s v="Y"/>
    <n v="5"/>
    <n v="-2"/>
    <n v="0"/>
    <n v="51"/>
    <n v="0"/>
    <m/>
    <n v="0"/>
    <n v="1"/>
    <n v="684"/>
    <n v="6"/>
    <x v="3"/>
    <n v="1"/>
    <n v="1"/>
    <n v="51"/>
    <n v="3"/>
    <n v="5"/>
    <n v="2"/>
    <n v="19537"/>
    <n v="6462"/>
    <n v="7"/>
    <n v="13"/>
    <n v="3"/>
    <n v="3"/>
    <n v="80"/>
    <n v="0"/>
    <n v="23"/>
    <n v="3"/>
    <n v="20"/>
    <n v="18"/>
    <n v="15"/>
    <n v="15"/>
  </r>
  <r>
    <s v="Yes"/>
    <s v="Travel_Rarely"/>
    <x v="2"/>
    <s v="Ex-Employees"/>
    <x v="0"/>
    <x v="0"/>
    <x v="124"/>
    <x v="124"/>
    <x v="1"/>
    <x v="0"/>
    <x v="1"/>
    <s v="Yes"/>
    <s v="Y"/>
    <n v="3"/>
    <n v="-2"/>
    <n v="0"/>
    <n v="31"/>
    <n v="1"/>
    <n v="1"/>
    <n v="1"/>
    <n v="0"/>
    <n v="249"/>
    <n v="6"/>
    <x v="2"/>
    <n v="1"/>
    <n v="2"/>
    <n v="76"/>
    <n v="1"/>
    <n v="2"/>
    <n v="2"/>
    <n v="6172"/>
    <n v="20739"/>
    <n v="4"/>
    <n v="18"/>
    <n v="3"/>
    <n v="2"/>
    <n v="80"/>
    <n v="0"/>
    <n v="12"/>
    <n v="2"/>
    <n v="7"/>
    <n v="7"/>
    <n v="7"/>
    <n v="7"/>
  </r>
  <r>
    <s v="No"/>
    <s v="Travel_Rarely"/>
    <x v="2"/>
    <s v="Current Employees"/>
    <x v="1"/>
    <x v="1"/>
    <x v="125"/>
    <x v="125"/>
    <x v="0"/>
    <x v="1"/>
    <x v="1"/>
    <s v="No"/>
    <s v="Y"/>
    <n v="3"/>
    <n v="-2"/>
    <n v="0"/>
    <n v="26"/>
    <n v="0"/>
    <m/>
    <n v="0"/>
    <n v="1"/>
    <n v="841"/>
    <n v="6"/>
    <x v="3"/>
    <n v="1"/>
    <n v="3"/>
    <n v="46"/>
    <n v="2"/>
    <n v="1"/>
    <n v="3"/>
    <n v="2368"/>
    <n v="23300"/>
    <n v="1"/>
    <n v="19"/>
    <n v="3"/>
    <n v="3"/>
    <n v="80"/>
    <n v="0"/>
    <n v="5"/>
    <n v="2"/>
    <n v="5"/>
    <n v="4"/>
    <n v="4"/>
    <n v="3"/>
  </r>
  <r>
    <s v="Yes"/>
    <s v="Travel_Rarely"/>
    <x v="3"/>
    <s v="Ex-Employees"/>
    <x v="1"/>
    <x v="2"/>
    <x v="126"/>
    <x v="126"/>
    <x v="0"/>
    <x v="4"/>
    <x v="1"/>
    <s v="No"/>
    <s v="Y"/>
    <n v="3"/>
    <n v="-2"/>
    <n v="0"/>
    <n v="58"/>
    <n v="1"/>
    <n v="1"/>
    <n v="1"/>
    <n v="0"/>
    <n v="147"/>
    <n v="23"/>
    <x v="2"/>
    <n v="1"/>
    <n v="4"/>
    <n v="94"/>
    <n v="3"/>
    <n v="3"/>
    <n v="4"/>
    <n v="10312"/>
    <n v="3465"/>
    <n v="1"/>
    <n v="12"/>
    <n v="3"/>
    <n v="4"/>
    <n v="80"/>
    <n v="1"/>
    <n v="40"/>
    <n v="2"/>
    <n v="40"/>
    <n v="10"/>
    <n v="15"/>
    <n v="6"/>
  </r>
  <r>
    <s v="Yes"/>
    <s v="Travel_Rarely"/>
    <x v="4"/>
    <s v="Ex-Employees"/>
    <x v="0"/>
    <x v="3"/>
    <x v="127"/>
    <x v="127"/>
    <x v="1"/>
    <x v="6"/>
    <x v="0"/>
    <s v="Yes"/>
    <s v="Y"/>
    <n v="2"/>
    <n v="-2"/>
    <n v="0"/>
    <n v="19"/>
    <n v="1"/>
    <n v="1"/>
    <n v="1"/>
    <n v="0"/>
    <n v="528"/>
    <n v="22"/>
    <x v="1"/>
    <n v="1"/>
    <n v="4"/>
    <n v="50"/>
    <n v="3"/>
    <n v="1"/>
    <n v="3"/>
    <n v="1675"/>
    <n v="26820"/>
    <n v="1"/>
    <n v="19"/>
    <n v="3"/>
    <n v="4"/>
    <n v="80"/>
    <n v="0"/>
    <n v="0"/>
    <n v="2"/>
    <n v="0"/>
    <n v="0"/>
    <n v="0"/>
    <n v="0"/>
  </r>
  <r>
    <s v="No"/>
    <s v="Travel_Rarely"/>
    <x v="4"/>
    <s v="Current Employees"/>
    <x v="1"/>
    <x v="4"/>
    <x v="128"/>
    <x v="128"/>
    <x v="1"/>
    <x v="2"/>
    <x v="1"/>
    <s v="No"/>
    <s v="Y"/>
    <n v="2"/>
    <n v="-2"/>
    <n v="0"/>
    <n v="22"/>
    <n v="0"/>
    <m/>
    <n v="0"/>
    <n v="1"/>
    <n v="594"/>
    <n v="2"/>
    <x v="1"/>
    <n v="1"/>
    <n v="3"/>
    <n v="100"/>
    <n v="3"/>
    <n v="1"/>
    <n v="4"/>
    <n v="2523"/>
    <n v="19299"/>
    <n v="0"/>
    <n v="14"/>
    <n v="3"/>
    <n v="3"/>
    <n v="80"/>
    <n v="1"/>
    <n v="3"/>
    <n v="3"/>
    <n v="2"/>
    <n v="1"/>
    <n v="2"/>
    <n v="1"/>
  </r>
  <r>
    <s v="No"/>
    <s v="Travel_Rarely"/>
    <x v="1"/>
    <s v="Current Employees"/>
    <x v="1"/>
    <x v="2"/>
    <x v="129"/>
    <x v="129"/>
    <x v="0"/>
    <x v="3"/>
    <x v="1"/>
    <s v="No"/>
    <s v="Y"/>
    <n v="2"/>
    <n v="-2"/>
    <n v="0"/>
    <n v="49"/>
    <n v="0"/>
    <m/>
    <n v="0"/>
    <n v="1"/>
    <n v="470"/>
    <n v="20"/>
    <x v="2"/>
    <n v="1"/>
    <n v="3"/>
    <n v="96"/>
    <n v="3"/>
    <n v="2"/>
    <n v="1"/>
    <n v="6567"/>
    <n v="5549"/>
    <n v="1"/>
    <n v="14"/>
    <n v="3"/>
    <n v="3"/>
    <n v="80"/>
    <n v="0"/>
    <n v="16"/>
    <n v="2"/>
    <n v="15"/>
    <n v="11"/>
    <n v="5"/>
    <n v="11"/>
  </r>
  <r>
    <s v="No"/>
    <s v="Travel_Frequently"/>
    <x v="0"/>
    <s v="Current Employees"/>
    <x v="1"/>
    <x v="2"/>
    <x v="130"/>
    <x v="130"/>
    <x v="0"/>
    <x v="1"/>
    <x v="0"/>
    <s v="No"/>
    <s v="Y"/>
    <n v="2"/>
    <n v="-2"/>
    <n v="0"/>
    <n v="43"/>
    <n v="0"/>
    <m/>
    <n v="0"/>
    <n v="1"/>
    <n v="957"/>
    <n v="28"/>
    <x v="3"/>
    <n v="1"/>
    <n v="2"/>
    <n v="72"/>
    <n v="4"/>
    <n v="1"/>
    <n v="3"/>
    <n v="4739"/>
    <n v="16090"/>
    <n v="4"/>
    <n v="12"/>
    <n v="3"/>
    <n v="4"/>
    <n v="80"/>
    <n v="0"/>
    <n v="18"/>
    <n v="3"/>
    <n v="3"/>
    <n v="2"/>
    <n v="1"/>
    <n v="2"/>
  </r>
  <r>
    <s v="No"/>
    <s v="Travel_Frequently"/>
    <x v="1"/>
    <s v="Current Employees"/>
    <x v="0"/>
    <x v="3"/>
    <x v="131"/>
    <x v="131"/>
    <x v="0"/>
    <x v="0"/>
    <x v="0"/>
    <s v="No"/>
    <s v="Y"/>
    <n v="3"/>
    <n v="-2"/>
    <n v="0"/>
    <n v="50"/>
    <n v="0"/>
    <m/>
    <n v="0"/>
    <n v="1"/>
    <n v="809"/>
    <n v="12"/>
    <x v="3"/>
    <n v="1"/>
    <n v="3"/>
    <n v="77"/>
    <n v="3"/>
    <n v="3"/>
    <n v="4"/>
    <n v="9208"/>
    <n v="6645"/>
    <n v="4"/>
    <n v="11"/>
    <n v="3"/>
    <n v="4"/>
    <n v="80"/>
    <n v="0"/>
    <n v="16"/>
    <n v="3"/>
    <n v="2"/>
    <n v="2"/>
    <n v="2"/>
    <n v="1"/>
  </r>
  <r>
    <s v="Yes"/>
    <s v="Travel_Rarely"/>
    <x v="2"/>
    <s v="Ex-Employees"/>
    <x v="0"/>
    <x v="0"/>
    <x v="132"/>
    <x v="132"/>
    <x v="0"/>
    <x v="0"/>
    <x v="1"/>
    <s v="Yes"/>
    <s v="Y"/>
    <n v="2"/>
    <n v="-2"/>
    <n v="0"/>
    <n v="31"/>
    <n v="1"/>
    <n v="1"/>
    <n v="1"/>
    <n v="0"/>
    <n v="542"/>
    <n v="20"/>
    <x v="3"/>
    <n v="1"/>
    <n v="2"/>
    <n v="71"/>
    <n v="1"/>
    <n v="2"/>
    <n v="2"/>
    <n v="4559"/>
    <n v="24788"/>
    <n v="3"/>
    <n v="11"/>
    <n v="3"/>
    <n v="3"/>
    <n v="80"/>
    <n v="1"/>
    <n v="4"/>
    <n v="3"/>
    <n v="2"/>
    <n v="2"/>
    <n v="2"/>
    <n v="2"/>
  </r>
  <r>
    <s v="No"/>
    <s v="Travel_Rarely"/>
    <x v="0"/>
    <s v="Current Employees"/>
    <x v="0"/>
    <x v="0"/>
    <x v="133"/>
    <x v="133"/>
    <x v="1"/>
    <x v="0"/>
    <x v="2"/>
    <s v="Yes"/>
    <s v="Y"/>
    <n v="2"/>
    <n v="-2"/>
    <n v="0"/>
    <n v="41"/>
    <n v="0"/>
    <m/>
    <n v="0"/>
    <n v="1"/>
    <n v="802"/>
    <n v="9"/>
    <x v="1"/>
    <n v="1"/>
    <n v="3"/>
    <n v="96"/>
    <n v="3"/>
    <n v="3"/>
    <n v="2"/>
    <n v="8189"/>
    <n v="21196"/>
    <n v="3"/>
    <n v="13"/>
    <n v="3"/>
    <n v="3"/>
    <n v="80"/>
    <n v="1"/>
    <n v="12"/>
    <n v="3"/>
    <n v="9"/>
    <n v="7"/>
    <n v="0"/>
    <n v="7"/>
  </r>
  <r>
    <s v="No"/>
    <s v="Travel_Rarely"/>
    <x v="2"/>
    <s v="Current Employees"/>
    <x v="2"/>
    <x v="0"/>
    <x v="134"/>
    <x v="134"/>
    <x v="0"/>
    <x v="8"/>
    <x v="1"/>
    <s v="No"/>
    <s v="Y"/>
    <n v="3"/>
    <n v="-2"/>
    <n v="0"/>
    <n v="26"/>
    <n v="0"/>
    <m/>
    <n v="0"/>
    <n v="1"/>
    <n v="1355"/>
    <n v="25"/>
    <x v="1"/>
    <n v="1"/>
    <n v="3"/>
    <n v="61"/>
    <n v="3"/>
    <n v="1"/>
    <n v="2"/>
    <n v="2942"/>
    <n v="8916"/>
    <n v="1"/>
    <n v="23"/>
    <n v="4"/>
    <n v="4"/>
    <n v="80"/>
    <n v="1"/>
    <n v="8"/>
    <n v="3"/>
    <n v="8"/>
    <n v="7"/>
    <n v="5"/>
    <n v="7"/>
  </r>
  <r>
    <s v="No"/>
    <s v="Travel_Rarely"/>
    <x v="0"/>
    <s v="Current Employees"/>
    <x v="1"/>
    <x v="2"/>
    <x v="135"/>
    <x v="135"/>
    <x v="1"/>
    <x v="3"/>
    <x v="2"/>
    <s v="No"/>
    <s v="Y"/>
    <n v="0"/>
    <n v="-2"/>
    <n v="0"/>
    <n v="36"/>
    <n v="0"/>
    <m/>
    <n v="0"/>
    <n v="1"/>
    <n v="216"/>
    <n v="6"/>
    <x v="0"/>
    <n v="1"/>
    <n v="2"/>
    <n v="84"/>
    <n v="3"/>
    <n v="2"/>
    <n v="3"/>
    <n v="4941"/>
    <n v="2819"/>
    <n v="6"/>
    <n v="20"/>
    <n v="4"/>
    <n v="4"/>
    <n v="80"/>
    <n v="2"/>
    <n v="7"/>
    <n v="3"/>
    <n v="3"/>
    <n v="2"/>
    <n v="0"/>
    <n v="1"/>
  </r>
  <r>
    <s v="Yes"/>
    <s v="Travel_Frequently"/>
    <x v="1"/>
    <s v="Ex-Employees"/>
    <x v="1"/>
    <x v="0"/>
    <x v="136"/>
    <x v="136"/>
    <x v="1"/>
    <x v="3"/>
    <x v="0"/>
    <s v="No"/>
    <s v="Y"/>
    <n v="2"/>
    <n v="-2"/>
    <n v="0"/>
    <n v="51"/>
    <n v="1"/>
    <n v="1"/>
    <n v="1"/>
    <n v="0"/>
    <n v="1150"/>
    <n v="8"/>
    <x v="2"/>
    <n v="1"/>
    <n v="1"/>
    <n v="53"/>
    <n v="1"/>
    <n v="3"/>
    <n v="2"/>
    <n v="10650"/>
    <n v="25150"/>
    <n v="2"/>
    <n v="15"/>
    <n v="3"/>
    <n v="4"/>
    <n v="80"/>
    <n v="0"/>
    <n v="18"/>
    <n v="3"/>
    <n v="4"/>
    <n v="2"/>
    <n v="0"/>
    <n v="3"/>
  </r>
  <r>
    <s v="No"/>
    <s v="Travel_Rarely"/>
    <x v="0"/>
    <s v="Current Employees"/>
    <x v="0"/>
    <x v="0"/>
    <x v="137"/>
    <x v="137"/>
    <x v="0"/>
    <x v="0"/>
    <x v="1"/>
    <s v="No"/>
    <s v="Y"/>
    <n v="1"/>
    <n v="-2"/>
    <n v="0"/>
    <n v="39"/>
    <n v="0"/>
    <m/>
    <n v="0"/>
    <n v="1"/>
    <n v="1329"/>
    <n v="4"/>
    <x v="2"/>
    <n v="1"/>
    <n v="4"/>
    <n v="47"/>
    <n v="2"/>
    <n v="2"/>
    <n v="2"/>
    <n v="5902"/>
    <n v="14590"/>
    <n v="4"/>
    <n v="14"/>
    <n v="3"/>
    <n v="3"/>
    <n v="80"/>
    <n v="1"/>
    <n v="17"/>
    <n v="4"/>
    <n v="15"/>
    <n v="11"/>
    <n v="5"/>
    <n v="9"/>
  </r>
  <r>
    <s v="No"/>
    <s v="Travel_Rarely"/>
    <x v="2"/>
    <s v="Current Employees"/>
    <x v="0"/>
    <x v="0"/>
    <x v="138"/>
    <x v="138"/>
    <x v="1"/>
    <x v="0"/>
    <x v="1"/>
    <s v="No"/>
    <s v="Y"/>
    <n v="3"/>
    <n v="-2"/>
    <n v="0"/>
    <n v="25"/>
    <n v="0"/>
    <m/>
    <n v="0"/>
    <n v="1"/>
    <n v="959"/>
    <n v="28"/>
    <x v="3"/>
    <n v="1"/>
    <n v="1"/>
    <n v="41"/>
    <n v="2"/>
    <n v="2"/>
    <n v="2"/>
    <n v="8639"/>
    <n v="24835"/>
    <n v="2"/>
    <n v="18"/>
    <n v="3"/>
    <n v="4"/>
    <n v="80"/>
    <n v="0"/>
    <n v="6"/>
    <n v="3"/>
    <n v="2"/>
    <n v="2"/>
    <n v="2"/>
    <n v="2"/>
  </r>
  <r>
    <s v="No"/>
    <s v="Travel_Rarely"/>
    <x v="2"/>
    <s v="Current Employees"/>
    <x v="2"/>
    <x v="5"/>
    <x v="139"/>
    <x v="139"/>
    <x v="1"/>
    <x v="8"/>
    <x v="1"/>
    <s v="Yes"/>
    <s v="Y"/>
    <n v="2"/>
    <n v="-2"/>
    <n v="0"/>
    <n v="30"/>
    <n v="0"/>
    <m/>
    <n v="0"/>
    <n v="1"/>
    <n v="1240"/>
    <n v="9"/>
    <x v="3"/>
    <n v="1"/>
    <n v="3"/>
    <n v="48"/>
    <n v="3"/>
    <n v="2"/>
    <n v="4"/>
    <n v="6347"/>
    <n v="13982"/>
    <n v="0"/>
    <n v="19"/>
    <n v="3"/>
    <n v="4"/>
    <n v="80"/>
    <n v="0"/>
    <n v="12"/>
    <n v="1"/>
    <n v="11"/>
    <n v="9"/>
    <n v="4"/>
    <n v="7"/>
  </r>
  <r>
    <s v="Yes"/>
    <s v="Travel_Rarely"/>
    <x v="2"/>
    <s v="Ex-Employees"/>
    <x v="1"/>
    <x v="2"/>
    <x v="140"/>
    <x v="140"/>
    <x v="0"/>
    <x v="2"/>
    <x v="0"/>
    <s v="No"/>
    <s v="Y"/>
    <n v="2"/>
    <n v="-2"/>
    <n v="0"/>
    <n v="32"/>
    <n v="1"/>
    <n v="1"/>
    <n v="1"/>
    <n v="0"/>
    <n v="1033"/>
    <n v="9"/>
    <x v="3"/>
    <n v="1"/>
    <n v="1"/>
    <n v="41"/>
    <n v="3"/>
    <n v="1"/>
    <n v="1"/>
    <n v="4200"/>
    <n v="10224"/>
    <n v="7"/>
    <n v="22"/>
    <n v="4"/>
    <n v="1"/>
    <n v="80"/>
    <n v="0"/>
    <n v="10"/>
    <n v="4"/>
    <n v="5"/>
    <n v="4"/>
    <n v="0"/>
    <n v="4"/>
  </r>
  <r>
    <s v="No"/>
    <s v="Travel_Rarely"/>
    <x v="1"/>
    <s v="Current Employees"/>
    <x v="1"/>
    <x v="2"/>
    <x v="141"/>
    <x v="141"/>
    <x v="1"/>
    <x v="1"/>
    <x v="0"/>
    <s v="No"/>
    <s v="Y"/>
    <n v="2"/>
    <n v="-2"/>
    <n v="0"/>
    <n v="45"/>
    <n v="0"/>
    <m/>
    <n v="0"/>
    <n v="1"/>
    <n v="1316"/>
    <n v="29"/>
    <x v="3"/>
    <n v="1"/>
    <n v="3"/>
    <n v="83"/>
    <n v="3"/>
    <n v="1"/>
    <n v="4"/>
    <n v="3452"/>
    <n v="9752"/>
    <n v="5"/>
    <n v="13"/>
    <n v="3"/>
    <n v="2"/>
    <n v="80"/>
    <n v="0"/>
    <n v="9"/>
    <n v="2"/>
    <n v="6"/>
    <n v="5"/>
    <n v="0"/>
    <n v="3"/>
  </r>
  <r>
    <s v="No"/>
    <s v="Travel_Rarely"/>
    <x v="0"/>
    <s v="Current Employees"/>
    <x v="1"/>
    <x v="4"/>
    <x v="142"/>
    <x v="142"/>
    <x v="0"/>
    <x v="1"/>
    <x v="0"/>
    <s v="Yes"/>
    <s v="Y"/>
    <n v="2"/>
    <n v="-2"/>
    <n v="0"/>
    <n v="38"/>
    <n v="0"/>
    <m/>
    <n v="0"/>
    <n v="1"/>
    <n v="364"/>
    <n v="3"/>
    <x v="4"/>
    <n v="1"/>
    <n v="4"/>
    <n v="32"/>
    <n v="3"/>
    <n v="2"/>
    <n v="3"/>
    <n v="4317"/>
    <n v="2302"/>
    <n v="3"/>
    <n v="20"/>
    <n v="4"/>
    <n v="2"/>
    <n v="80"/>
    <n v="0"/>
    <n v="19"/>
    <n v="3"/>
    <n v="3"/>
    <n v="2"/>
    <n v="2"/>
    <n v="2"/>
  </r>
  <r>
    <s v="No"/>
    <s v="Travel_Rarely"/>
    <x v="2"/>
    <s v="Current Employees"/>
    <x v="1"/>
    <x v="0"/>
    <x v="143"/>
    <x v="143"/>
    <x v="0"/>
    <x v="1"/>
    <x v="0"/>
    <s v="No"/>
    <s v="Y"/>
    <n v="4"/>
    <n v="-2"/>
    <n v="0"/>
    <n v="30"/>
    <n v="0"/>
    <m/>
    <n v="0"/>
    <n v="1"/>
    <n v="438"/>
    <n v="18"/>
    <x v="3"/>
    <n v="1"/>
    <n v="1"/>
    <n v="75"/>
    <n v="3"/>
    <n v="1"/>
    <n v="2"/>
    <n v="2632"/>
    <n v="23910"/>
    <n v="1"/>
    <n v="14"/>
    <n v="3"/>
    <n v="3"/>
    <n v="80"/>
    <n v="0"/>
    <n v="5"/>
    <n v="2"/>
    <n v="5"/>
    <n v="4"/>
    <n v="0"/>
    <n v="4"/>
  </r>
  <r>
    <s v="No"/>
    <s v="Travel_Frequently"/>
    <x v="2"/>
    <s v="Current Employees"/>
    <x v="0"/>
    <x v="2"/>
    <x v="144"/>
    <x v="144"/>
    <x v="1"/>
    <x v="0"/>
    <x v="2"/>
    <s v="No"/>
    <s v="Y"/>
    <n v="2"/>
    <n v="-2"/>
    <n v="0"/>
    <n v="32"/>
    <n v="0"/>
    <m/>
    <n v="0"/>
    <n v="1"/>
    <n v="689"/>
    <n v="9"/>
    <x v="0"/>
    <n v="1"/>
    <n v="4"/>
    <n v="35"/>
    <n v="1"/>
    <n v="2"/>
    <n v="4"/>
    <n v="4668"/>
    <n v="22812"/>
    <n v="0"/>
    <n v="17"/>
    <n v="3"/>
    <n v="4"/>
    <n v="80"/>
    <n v="3"/>
    <n v="9"/>
    <n v="4"/>
    <n v="8"/>
    <n v="7"/>
    <n v="0"/>
    <n v="7"/>
  </r>
  <r>
    <s v="No"/>
    <s v="Travel_Rarely"/>
    <x v="2"/>
    <s v="Current Employees"/>
    <x v="1"/>
    <x v="4"/>
    <x v="145"/>
    <x v="145"/>
    <x v="0"/>
    <x v="1"/>
    <x v="2"/>
    <s v="No"/>
    <s v="Y"/>
    <n v="3"/>
    <n v="-2"/>
    <n v="0"/>
    <n v="30"/>
    <n v="0"/>
    <m/>
    <n v="0"/>
    <n v="1"/>
    <n v="201"/>
    <n v="5"/>
    <x v="3"/>
    <n v="1"/>
    <n v="4"/>
    <n v="84"/>
    <n v="3"/>
    <n v="1"/>
    <n v="4"/>
    <n v="3204"/>
    <n v="10415"/>
    <n v="5"/>
    <n v="14"/>
    <n v="3"/>
    <n v="4"/>
    <n v="80"/>
    <n v="1"/>
    <n v="8"/>
    <n v="3"/>
    <n v="3"/>
    <n v="2"/>
    <n v="2"/>
    <n v="2"/>
  </r>
  <r>
    <s v="No"/>
    <s v="Travel_Rarely"/>
    <x v="2"/>
    <s v="Current Employees"/>
    <x v="1"/>
    <x v="2"/>
    <x v="146"/>
    <x v="146"/>
    <x v="1"/>
    <x v="2"/>
    <x v="0"/>
    <s v="No"/>
    <s v="Y"/>
    <n v="3"/>
    <n v="-2"/>
    <n v="0"/>
    <n v="30"/>
    <n v="0"/>
    <m/>
    <n v="0"/>
    <n v="1"/>
    <n v="1427"/>
    <n v="2"/>
    <x v="1"/>
    <n v="1"/>
    <n v="2"/>
    <n v="35"/>
    <n v="2"/>
    <n v="1"/>
    <n v="4"/>
    <n v="2720"/>
    <n v="11162"/>
    <n v="0"/>
    <n v="13"/>
    <n v="3"/>
    <n v="4"/>
    <n v="80"/>
    <n v="0"/>
    <n v="6"/>
    <n v="3"/>
    <n v="5"/>
    <n v="3"/>
    <n v="1"/>
    <n v="2"/>
  </r>
  <r>
    <s v="No"/>
    <s v="Travel_Frequently"/>
    <x v="0"/>
    <s v="Current Employees"/>
    <x v="1"/>
    <x v="0"/>
    <x v="147"/>
    <x v="147"/>
    <x v="1"/>
    <x v="5"/>
    <x v="2"/>
    <s v="No"/>
    <s v="Y"/>
    <n v="2"/>
    <n v="-2"/>
    <n v="0"/>
    <n v="41"/>
    <n v="0"/>
    <m/>
    <n v="0"/>
    <n v="1"/>
    <n v="857"/>
    <n v="10"/>
    <x v="3"/>
    <n v="1"/>
    <n v="4"/>
    <n v="91"/>
    <n v="2"/>
    <n v="4"/>
    <n v="2"/>
    <n v="17181"/>
    <n v="12888"/>
    <n v="4"/>
    <n v="13"/>
    <n v="3"/>
    <n v="2"/>
    <n v="80"/>
    <n v="1"/>
    <n v="21"/>
    <n v="2"/>
    <n v="7"/>
    <n v="6"/>
    <n v="7"/>
    <n v="7"/>
  </r>
  <r>
    <s v="No"/>
    <s v="Travel_Rarely"/>
    <x v="0"/>
    <s v="Current Employees"/>
    <x v="1"/>
    <x v="0"/>
    <x v="148"/>
    <x v="148"/>
    <x v="1"/>
    <x v="2"/>
    <x v="1"/>
    <s v="No"/>
    <s v="Y"/>
    <n v="2"/>
    <n v="-2"/>
    <n v="0"/>
    <n v="41"/>
    <n v="0"/>
    <m/>
    <n v="0"/>
    <n v="1"/>
    <n v="933"/>
    <n v="9"/>
    <x v="2"/>
    <n v="1"/>
    <n v="3"/>
    <n v="94"/>
    <n v="3"/>
    <n v="1"/>
    <n v="2"/>
    <n v="2238"/>
    <n v="6961"/>
    <n v="2"/>
    <n v="21"/>
    <n v="4"/>
    <n v="4"/>
    <n v="80"/>
    <n v="1"/>
    <n v="7"/>
    <n v="3"/>
    <n v="5"/>
    <n v="0"/>
    <n v="1"/>
    <n v="4"/>
  </r>
  <r>
    <s v="No"/>
    <s v="Travel_Rarely"/>
    <x v="4"/>
    <s v="Current Employees"/>
    <x v="1"/>
    <x v="2"/>
    <x v="149"/>
    <x v="149"/>
    <x v="0"/>
    <x v="2"/>
    <x v="0"/>
    <s v="No"/>
    <s v="Y"/>
    <n v="3"/>
    <n v="-2"/>
    <n v="0"/>
    <n v="19"/>
    <n v="0"/>
    <m/>
    <n v="0"/>
    <n v="1"/>
    <n v="1181"/>
    <n v="3"/>
    <x v="1"/>
    <n v="1"/>
    <n v="2"/>
    <n v="79"/>
    <n v="3"/>
    <n v="1"/>
    <n v="3"/>
    <n v="1483"/>
    <n v="16102"/>
    <n v="1"/>
    <n v="14"/>
    <n v="3"/>
    <n v="4"/>
    <n v="80"/>
    <n v="0"/>
    <n v="1"/>
    <n v="3"/>
    <n v="1"/>
    <n v="0"/>
    <n v="0"/>
    <n v="0"/>
  </r>
  <r>
    <s v="No"/>
    <s v="Travel_Frequently"/>
    <x v="0"/>
    <s v="Current Employees"/>
    <x v="1"/>
    <x v="2"/>
    <x v="150"/>
    <x v="150"/>
    <x v="0"/>
    <x v="1"/>
    <x v="2"/>
    <s v="No"/>
    <s v="Y"/>
    <n v="2"/>
    <n v="-2"/>
    <n v="0"/>
    <n v="40"/>
    <n v="0"/>
    <m/>
    <n v="0"/>
    <n v="1"/>
    <n v="1395"/>
    <n v="26"/>
    <x v="3"/>
    <n v="1"/>
    <n v="2"/>
    <n v="54"/>
    <n v="3"/>
    <n v="2"/>
    <n v="3"/>
    <n v="5605"/>
    <n v="8504"/>
    <n v="1"/>
    <n v="11"/>
    <n v="3"/>
    <n v="1"/>
    <n v="80"/>
    <n v="1"/>
    <n v="20"/>
    <n v="3"/>
    <n v="20"/>
    <n v="7"/>
    <n v="2"/>
    <n v="13"/>
  </r>
  <r>
    <s v="No"/>
    <s v="Travel_Rarely"/>
    <x v="0"/>
    <s v="Current Employees"/>
    <x v="0"/>
    <x v="3"/>
    <x v="151"/>
    <x v="151"/>
    <x v="1"/>
    <x v="0"/>
    <x v="1"/>
    <s v="No"/>
    <s v="Y"/>
    <n v="3"/>
    <n v="-2"/>
    <n v="0"/>
    <n v="35"/>
    <n v="0"/>
    <m/>
    <n v="0"/>
    <n v="1"/>
    <n v="662"/>
    <n v="1"/>
    <x v="4"/>
    <n v="1"/>
    <n v="3"/>
    <n v="94"/>
    <n v="3"/>
    <n v="3"/>
    <n v="3"/>
    <n v="7295"/>
    <n v="11439"/>
    <n v="1"/>
    <n v="13"/>
    <n v="3"/>
    <n v="1"/>
    <n v="80"/>
    <n v="2"/>
    <n v="10"/>
    <n v="3"/>
    <n v="10"/>
    <n v="8"/>
    <n v="0"/>
    <n v="6"/>
  </r>
  <r>
    <s v="No"/>
    <s v="Travel_Rarely"/>
    <x v="1"/>
    <s v="Current Employees"/>
    <x v="0"/>
    <x v="3"/>
    <x v="152"/>
    <x v="152"/>
    <x v="1"/>
    <x v="6"/>
    <x v="1"/>
    <s v="Yes"/>
    <s v="Y"/>
    <n v="3"/>
    <n v="-2"/>
    <n v="0"/>
    <n v="53"/>
    <n v="0"/>
    <m/>
    <n v="0"/>
    <n v="1"/>
    <n v="1436"/>
    <n v="6"/>
    <x v="0"/>
    <n v="1"/>
    <n v="2"/>
    <n v="34"/>
    <n v="3"/>
    <n v="2"/>
    <n v="3"/>
    <n v="2306"/>
    <n v="16047"/>
    <n v="2"/>
    <n v="20"/>
    <n v="4"/>
    <n v="4"/>
    <n v="80"/>
    <n v="1"/>
    <n v="13"/>
    <n v="1"/>
    <n v="7"/>
    <n v="7"/>
    <n v="4"/>
    <n v="5"/>
  </r>
  <r>
    <s v="No"/>
    <s v="Travel_Rarely"/>
    <x v="1"/>
    <s v="Current Employees"/>
    <x v="1"/>
    <x v="0"/>
    <x v="153"/>
    <x v="153"/>
    <x v="1"/>
    <x v="2"/>
    <x v="2"/>
    <s v="No"/>
    <s v="Y"/>
    <n v="2"/>
    <n v="-2"/>
    <n v="0"/>
    <n v="45"/>
    <n v="0"/>
    <m/>
    <n v="0"/>
    <n v="1"/>
    <n v="194"/>
    <n v="9"/>
    <x v="3"/>
    <n v="1"/>
    <n v="2"/>
    <n v="60"/>
    <n v="3"/>
    <n v="2"/>
    <n v="2"/>
    <n v="2348"/>
    <n v="10901"/>
    <n v="8"/>
    <n v="18"/>
    <n v="3"/>
    <n v="3"/>
    <n v="80"/>
    <n v="1"/>
    <n v="20"/>
    <n v="1"/>
    <n v="17"/>
    <n v="9"/>
    <n v="0"/>
    <n v="15"/>
  </r>
  <r>
    <s v="No"/>
    <s v="Travel_Frequently"/>
    <x v="2"/>
    <s v="Current Employees"/>
    <x v="0"/>
    <x v="3"/>
    <x v="154"/>
    <x v="154"/>
    <x v="0"/>
    <x v="0"/>
    <x v="0"/>
    <s v="No"/>
    <s v="Y"/>
    <n v="2"/>
    <n v="-2"/>
    <n v="0"/>
    <n v="32"/>
    <n v="0"/>
    <m/>
    <n v="0"/>
    <n v="1"/>
    <n v="967"/>
    <n v="8"/>
    <x v="3"/>
    <n v="1"/>
    <n v="2"/>
    <n v="43"/>
    <n v="3"/>
    <n v="3"/>
    <n v="4"/>
    <n v="8998"/>
    <n v="15589"/>
    <n v="1"/>
    <n v="14"/>
    <n v="3"/>
    <n v="4"/>
    <n v="80"/>
    <n v="0"/>
    <n v="9"/>
    <n v="3"/>
    <n v="9"/>
    <n v="8"/>
    <n v="3"/>
    <n v="7"/>
  </r>
  <r>
    <s v="No"/>
    <s v="Non-Travel"/>
    <x v="2"/>
    <s v="Current Employees"/>
    <x v="1"/>
    <x v="4"/>
    <x v="155"/>
    <x v="155"/>
    <x v="1"/>
    <x v="3"/>
    <x v="1"/>
    <s v="No"/>
    <s v="Y"/>
    <n v="1"/>
    <n v="-2"/>
    <n v="0"/>
    <n v="29"/>
    <n v="0"/>
    <m/>
    <n v="0"/>
    <n v="1"/>
    <n v="1496"/>
    <n v="1"/>
    <x v="1"/>
    <n v="1"/>
    <n v="4"/>
    <n v="41"/>
    <n v="3"/>
    <n v="2"/>
    <n v="4"/>
    <n v="4319"/>
    <n v="26283"/>
    <n v="1"/>
    <n v="13"/>
    <n v="3"/>
    <n v="1"/>
    <n v="80"/>
    <n v="1"/>
    <n v="10"/>
    <n v="3"/>
    <n v="10"/>
    <n v="7"/>
    <n v="0"/>
    <n v="9"/>
  </r>
  <r>
    <s v="No"/>
    <s v="Travel_Rarely"/>
    <x v="1"/>
    <s v="Current Employees"/>
    <x v="1"/>
    <x v="2"/>
    <x v="156"/>
    <x v="156"/>
    <x v="1"/>
    <x v="3"/>
    <x v="1"/>
    <s v="No"/>
    <s v="Y"/>
    <n v="2"/>
    <n v="-2"/>
    <n v="0"/>
    <n v="51"/>
    <n v="0"/>
    <m/>
    <n v="0"/>
    <n v="1"/>
    <n v="1169"/>
    <n v="7"/>
    <x v="2"/>
    <n v="1"/>
    <n v="2"/>
    <n v="34"/>
    <n v="2"/>
    <n v="2"/>
    <n v="3"/>
    <n v="6132"/>
    <n v="13983"/>
    <n v="2"/>
    <n v="17"/>
    <n v="3"/>
    <n v="3"/>
    <n v="80"/>
    <n v="0"/>
    <n v="10"/>
    <n v="3"/>
    <n v="1"/>
    <n v="0"/>
    <n v="0"/>
    <n v="0"/>
  </r>
  <r>
    <s v="No"/>
    <s v="Travel_Rarely"/>
    <x v="3"/>
    <s v="Current Employees"/>
    <x v="1"/>
    <x v="2"/>
    <x v="157"/>
    <x v="157"/>
    <x v="0"/>
    <x v="1"/>
    <x v="1"/>
    <s v="Yes"/>
    <s v="Y"/>
    <n v="3"/>
    <n v="-2"/>
    <n v="0"/>
    <n v="58"/>
    <n v="0"/>
    <m/>
    <n v="0"/>
    <n v="1"/>
    <n v="1145"/>
    <n v="9"/>
    <x v="3"/>
    <n v="1"/>
    <n v="2"/>
    <n v="75"/>
    <n v="2"/>
    <n v="1"/>
    <n v="3"/>
    <n v="3346"/>
    <n v="11873"/>
    <n v="4"/>
    <n v="20"/>
    <n v="4"/>
    <n v="2"/>
    <n v="80"/>
    <n v="1"/>
    <n v="9"/>
    <n v="2"/>
    <n v="1"/>
    <n v="0"/>
    <n v="0"/>
    <n v="0"/>
  </r>
  <r>
    <s v="No"/>
    <s v="Travel_Rarely"/>
    <x v="0"/>
    <s v="Current Employees"/>
    <x v="0"/>
    <x v="3"/>
    <x v="158"/>
    <x v="158"/>
    <x v="1"/>
    <x v="0"/>
    <x v="1"/>
    <s v="No"/>
    <s v="Y"/>
    <n v="2"/>
    <n v="-2"/>
    <n v="0"/>
    <n v="40"/>
    <n v="0"/>
    <m/>
    <n v="0"/>
    <n v="1"/>
    <n v="630"/>
    <n v="4"/>
    <x v="2"/>
    <n v="1"/>
    <n v="3"/>
    <n v="67"/>
    <n v="2"/>
    <n v="3"/>
    <n v="4"/>
    <n v="10855"/>
    <n v="8552"/>
    <n v="7"/>
    <n v="11"/>
    <n v="3"/>
    <n v="1"/>
    <n v="80"/>
    <n v="1"/>
    <n v="15"/>
    <n v="2"/>
    <n v="12"/>
    <n v="11"/>
    <n v="2"/>
    <n v="11"/>
  </r>
  <r>
    <s v="No"/>
    <s v="Travel_Frequently"/>
    <x v="2"/>
    <s v="Current Employees"/>
    <x v="0"/>
    <x v="3"/>
    <x v="159"/>
    <x v="159"/>
    <x v="0"/>
    <x v="6"/>
    <x v="1"/>
    <s v="No"/>
    <s v="Y"/>
    <n v="3"/>
    <n v="-2"/>
    <n v="0"/>
    <n v="34"/>
    <n v="0"/>
    <m/>
    <n v="0"/>
    <n v="1"/>
    <n v="303"/>
    <n v="2"/>
    <x v="2"/>
    <n v="1"/>
    <n v="3"/>
    <n v="75"/>
    <n v="3"/>
    <n v="1"/>
    <n v="3"/>
    <n v="2231"/>
    <n v="11314"/>
    <n v="6"/>
    <n v="18"/>
    <n v="3"/>
    <n v="4"/>
    <n v="80"/>
    <n v="1"/>
    <n v="6"/>
    <n v="3"/>
    <n v="4"/>
    <n v="3"/>
    <n v="1"/>
    <n v="2"/>
  </r>
  <r>
    <s v="No"/>
    <s v="Travel_Rarely"/>
    <x v="4"/>
    <s v="Current Employees"/>
    <x v="1"/>
    <x v="2"/>
    <x v="160"/>
    <x v="160"/>
    <x v="1"/>
    <x v="1"/>
    <x v="1"/>
    <s v="No"/>
    <s v="Y"/>
    <n v="6"/>
    <n v="-2"/>
    <n v="0"/>
    <n v="22"/>
    <n v="0"/>
    <m/>
    <n v="0"/>
    <n v="1"/>
    <n v="1256"/>
    <n v="19"/>
    <x v="1"/>
    <n v="1"/>
    <n v="3"/>
    <n v="80"/>
    <n v="3"/>
    <n v="1"/>
    <n v="4"/>
    <n v="2323"/>
    <n v="11992"/>
    <n v="1"/>
    <n v="24"/>
    <n v="4"/>
    <n v="1"/>
    <n v="80"/>
    <n v="2"/>
    <n v="2"/>
    <n v="3"/>
    <n v="2"/>
    <n v="2"/>
    <n v="2"/>
    <n v="2"/>
  </r>
  <r>
    <s v="No"/>
    <s v="Non-Travel"/>
    <x v="2"/>
    <s v="Current Employees"/>
    <x v="1"/>
    <x v="2"/>
    <x v="161"/>
    <x v="161"/>
    <x v="1"/>
    <x v="1"/>
    <x v="2"/>
    <s v="No"/>
    <s v="Y"/>
    <n v="1"/>
    <n v="-2"/>
    <n v="0"/>
    <n v="27"/>
    <n v="0"/>
    <m/>
    <n v="0"/>
    <n v="1"/>
    <n v="691"/>
    <n v="9"/>
    <x v="3"/>
    <n v="1"/>
    <n v="4"/>
    <n v="57"/>
    <n v="3"/>
    <n v="1"/>
    <n v="3"/>
    <n v="2024"/>
    <n v="5970"/>
    <n v="6"/>
    <n v="18"/>
    <n v="3"/>
    <n v="4"/>
    <n v="80"/>
    <n v="1"/>
    <n v="6"/>
    <n v="1"/>
    <n v="2"/>
    <n v="2"/>
    <n v="2"/>
    <n v="2"/>
  </r>
  <r>
    <s v="No"/>
    <s v="Travel_Rarely"/>
    <x v="2"/>
    <s v="Current Employees"/>
    <x v="1"/>
    <x v="2"/>
    <x v="162"/>
    <x v="162"/>
    <x v="1"/>
    <x v="1"/>
    <x v="1"/>
    <s v="No"/>
    <s v="Y"/>
    <n v="2"/>
    <n v="-2"/>
    <n v="0"/>
    <n v="28"/>
    <n v="0"/>
    <m/>
    <n v="0"/>
    <n v="1"/>
    <n v="440"/>
    <n v="21"/>
    <x v="3"/>
    <n v="1"/>
    <n v="3"/>
    <n v="42"/>
    <n v="3"/>
    <n v="1"/>
    <n v="4"/>
    <n v="2713"/>
    <n v="6672"/>
    <n v="1"/>
    <n v="11"/>
    <n v="3"/>
    <n v="3"/>
    <n v="80"/>
    <n v="1"/>
    <n v="5"/>
    <n v="1"/>
    <n v="5"/>
    <n v="2"/>
    <n v="0"/>
    <n v="2"/>
  </r>
  <r>
    <s v="No"/>
    <s v="Travel_Rarely"/>
    <x v="3"/>
    <s v="Current Employees"/>
    <x v="1"/>
    <x v="0"/>
    <x v="163"/>
    <x v="163"/>
    <x v="1"/>
    <x v="4"/>
    <x v="2"/>
    <s v="Yes"/>
    <s v="Y"/>
    <n v="2"/>
    <n v="-2"/>
    <n v="0"/>
    <n v="57"/>
    <n v="0"/>
    <m/>
    <n v="0"/>
    <n v="1"/>
    <n v="334"/>
    <n v="24"/>
    <x v="0"/>
    <n v="1"/>
    <n v="3"/>
    <n v="83"/>
    <n v="4"/>
    <n v="3"/>
    <n v="2"/>
    <n v="9439"/>
    <n v="23402"/>
    <n v="3"/>
    <n v="16"/>
    <n v="3"/>
    <n v="2"/>
    <n v="80"/>
    <n v="1"/>
    <n v="12"/>
    <n v="1"/>
    <n v="5"/>
    <n v="3"/>
    <n v="1"/>
    <n v="4"/>
  </r>
  <r>
    <s v="No"/>
    <s v="Non-Travel"/>
    <x v="2"/>
    <s v="Current Employees"/>
    <x v="1"/>
    <x v="2"/>
    <x v="164"/>
    <x v="164"/>
    <x v="1"/>
    <x v="1"/>
    <x v="2"/>
    <s v="Yes"/>
    <s v="Y"/>
    <n v="2"/>
    <n v="-2"/>
    <n v="0"/>
    <n v="27"/>
    <n v="0"/>
    <m/>
    <n v="0"/>
    <n v="1"/>
    <n v="1450"/>
    <n v="3"/>
    <x v="3"/>
    <n v="1"/>
    <n v="3"/>
    <n v="79"/>
    <n v="2"/>
    <n v="1"/>
    <n v="3"/>
    <n v="2566"/>
    <n v="25326"/>
    <n v="1"/>
    <n v="15"/>
    <n v="3"/>
    <n v="4"/>
    <n v="80"/>
    <n v="1"/>
    <n v="1"/>
    <n v="2"/>
    <n v="1"/>
    <n v="1"/>
    <n v="0"/>
    <n v="1"/>
  </r>
  <r>
    <s v="No"/>
    <s v="Travel_Rarely"/>
    <x v="1"/>
    <s v="Current Employees"/>
    <x v="1"/>
    <x v="0"/>
    <x v="165"/>
    <x v="165"/>
    <x v="0"/>
    <x v="5"/>
    <x v="0"/>
    <s v="No"/>
    <s v="Y"/>
    <n v="5"/>
    <n v="-2"/>
    <n v="0"/>
    <n v="50"/>
    <n v="0"/>
    <m/>
    <n v="0"/>
    <n v="1"/>
    <n v="1452"/>
    <n v="11"/>
    <x v="3"/>
    <n v="1"/>
    <n v="3"/>
    <n v="53"/>
    <n v="3"/>
    <n v="5"/>
    <n v="2"/>
    <n v="19926"/>
    <n v="17053"/>
    <n v="3"/>
    <n v="15"/>
    <n v="3"/>
    <n v="2"/>
    <n v="80"/>
    <n v="0"/>
    <n v="21"/>
    <n v="3"/>
    <n v="5"/>
    <n v="4"/>
    <n v="4"/>
    <n v="4"/>
  </r>
  <r>
    <s v="No"/>
    <s v="Travel_Rarely"/>
    <x v="0"/>
    <s v="Current Employees"/>
    <x v="1"/>
    <x v="0"/>
    <x v="166"/>
    <x v="166"/>
    <x v="1"/>
    <x v="1"/>
    <x v="2"/>
    <s v="No"/>
    <s v="Y"/>
    <n v="2"/>
    <n v="-2"/>
    <n v="0"/>
    <n v="41"/>
    <n v="0"/>
    <m/>
    <n v="0"/>
    <n v="1"/>
    <n v="465"/>
    <n v="14"/>
    <x v="3"/>
    <n v="1"/>
    <n v="1"/>
    <n v="56"/>
    <n v="3"/>
    <n v="1"/>
    <n v="2"/>
    <n v="2451"/>
    <n v="4609"/>
    <n v="4"/>
    <n v="12"/>
    <n v="3"/>
    <n v="1"/>
    <n v="80"/>
    <n v="1"/>
    <n v="13"/>
    <n v="3"/>
    <n v="9"/>
    <n v="8"/>
    <n v="1"/>
    <n v="8"/>
  </r>
  <r>
    <s v="No"/>
    <s v="Travel_Rarely"/>
    <x v="2"/>
    <s v="Current Employees"/>
    <x v="0"/>
    <x v="0"/>
    <x v="167"/>
    <x v="167"/>
    <x v="0"/>
    <x v="0"/>
    <x v="1"/>
    <s v="No"/>
    <s v="Y"/>
    <n v="2"/>
    <n v="-2"/>
    <n v="0"/>
    <n v="30"/>
    <n v="0"/>
    <m/>
    <n v="0"/>
    <n v="1"/>
    <n v="1339"/>
    <n v="5"/>
    <x v="3"/>
    <n v="1"/>
    <n v="2"/>
    <n v="41"/>
    <n v="3"/>
    <n v="3"/>
    <n v="2"/>
    <n v="9419"/>
    <n v="8053"/>
    <n v="2"/>
    <n v="12"/>
    <n v="3"/>
    <n v="3"/>
    <n v="80"/>
    <n v="1"/>
    <n v="12"/>
    <n v="3"/>
    <n v="10"/>
    <n v="9"/>
    <n v="7"/>
    <n v="4"/>
  </r>
  <r>
    <s v="No"/>
    <s v="Travel_Rarely"/>
    <x v="0"/>
    <s v="Current Employees"/>
    <x v="0"/>
    <x v="0"/>
    <x v="168"/>
    <x v="168"/>
    <x v="0"/>
    <x v="0"/>
    <x v="0"/>
    <s v="No"/>
    <s v="Y"/>
    <n v="2"/>
    <n v="-2"/>
    <n v="0"/>
    <n v="38"/>
    <n v="0"/>
    <m/>
    <n v="0"/>
    <n v="1"/>
    <n v="702"/>
    <n v="1"/>
    <x v="2"/>
    <n v="1"/>
    <n v="1"/>
    <n v="59"/>
    <n v="2"/>
    <n v="2"/>
    <n v="2"/>
    <n v="8686"/>
    <n v="12930"/>
    <n v="4"/>
    <n v="22"/>
    <n v="4"/>
    <n v="3"/>
    <n v="80"/>
    <n v="0"/>
    <n v="12"/>
    <n v="4"/>
    <n v="8"/>
    <n v="3"/>
    <n v="0"/>
    <n v="7"/>
  </r>
  <r>
    <s v="No"/>
    <s v="Travel_Rarely"/>
    <x v="2"/>
    <s v="Current Employees"/>
    <x v="1"/>
    <x v="0"/>
    <x v="169"/>
    <x v="169"/>
    <x v="1"/>
    <x v="1"/>
    <x v="0"/>
    <s v="No"/>
    <s v="Y"/>
    <n v="2"/>
    <n v="-2"/>
    <n v="0"/>
    <n v="32"/>
    <n v="0"/>
    <m/>
    <n v="0"/>
    <n v="1"/>
    <n v="120"/>
    <n v="6"/>
    <x v="4"/>
    <n v="1"/>
    <n v="3"/>
    <n v="43"/>
    <n v="3"/>
    <n v="1"/>
    <n v="2"/>
    <n v="3038"/>
    <n v="12430"/>
    <n v="3"/>
    <n v="20"/>
    <n v="4"/>
    <n v="1"/>
    <n v="80"/>
    <n v="0"/>
    <n v="8"/>
    <n v="3"/>
    <n v="5"/>
    <n v="4"/>
    <n v="1"/>
    <n v="4"/>
  </r>
  <r>
    <s v="No"/>
    <s v="Travel_Rarely"/>
    <x v="2"/>
    <s v="Current Employees"/>
    <x v="1"/>
    <x v="4"/>
    <x v="170"/>
    <x v="170"/>
    <x v="1"/>
    <x v="1"/>
    <x v="1"/>
    <s v="Yes"/>
    <s v="Y"/>
    <n v="3"/>
    <n v="-2"/>
    <n v="0"/>
    <n v="27"/>
    <n v="0"/>
    <m/>
    <n v="0"/>
    <n v="1"/>
    <n v="1157"/>
    <n v="17"/>
    <x v="3"/>
    <n v="1"/>
    <n v="3"/>
    <n v="51"/>
    <n v="3"/>
    <n v="1"/>
    <n v="4"/>
    <n v="3058"/>
    <n v="13364"/>
    <n v="0"/>
    <n v="16"/>
    <n v="3"/>
    <n v="4"/>
    <n v="80"/>
    <n v="1"/>
    <n v="6"/>
    <n v="2"/>
    <n v="5"/>
    <n v="2"/>
    <n v="1"/>
    <n v="1"/>
  </r>
  <r>
    <s v="Yes"/>
    <s v="Travel_Frequently"/>
    <x v="4"/>
    <s v="Ex-Employees"/>
    <x v="0"/>
    <x v="4"/>
    <x v="171"/>
    <x v="171"/>
    <x v="0"/>
    <x v="6"/>
    <x v="0"/>
    <s v="No"/>
    <s v="Y"/>
    <n v="5"/>
    <n v="-2"/>
    <n v="0"/>
    <n v="19"/>
    <n v="1"/>
    <n v="1"/>
    <n v="1"/>
    <n v="0"/>
    <n v="602"/>
    <n v="1"/>
    <x v="1"/>
    <n v="1"/>
    <n v="3"/>
    <n v="100"/>
    <n v="1"/>
    <n v="1"/>
    <n v="4"/>
    <n v="2325"/>
    <n v="20989"/>
    <n v="0"/>
    <n v="21"/>
    <n v="4"/>
    <n v="1"/>
    <n v="80"/>
    <n v="0"/>
    <n v="1"/>
    <n v="4"/>
    <n v="0"/>
    <n v="0"/>
    <n v="0"/>
    <n v="0"/>
  </r>
  <r>
    <s v="No"/>
    <s v="Travel_Frequently"/>
    <x v="0"/>
    <s v="Current Employees"/>
    <x v="1"/>
    <x v="2"/>
    <x v="172"/>
    <x v="172"/>
    <x v="1"/>
    <x v="2"/>
    <x v="0"/>
    <s v="No"/>
    <s v="Y"/>
    <n v="3"/>
    <n v="-2"/>
    <n v="0"/>
    <n v="36"/>
    <n v="0"/>
    <m/>
    <n v="0"/>
    <n v="1"/>
    <n v="1480"/>
    <n v="3"/>
    <x v="0"/>
    <n v="1"/>
    <n v="4"/>
    <n v="30"/>
    <n v="3"/>
    <n v="1"/>
    <n v="3"/>
    <n v="2088"/>
    <n v="15062"/>
    <n v="4"/>
    <n v="12"/>
    <n v="3"/>
    <n v="3"/>
    <n v="80"/>
    <n v="0"/>
    <n v="13"/>
    <n v="2"/>
    <n v="8"/>
    <n v="7"/>
    <n v="7"/>
    <n v="2"/>
  </r>
  <r>
    <s v="No"/>
    <s v="Non-Travel"/>
    <x v="2"/>
    <s v="Current Employees"/>
    <x v="1"/>
    <x v="2"/>
    <x v="173"/>
    <x v="173"/>
    <x v="1"/>
    <x v="2"/>
    <x v="2"/>
    <s v="No"/>
    <s v="Y"/>
    <n v="4"/>
    <n v="-2"/>
    <n v="0"/>
    <n v="30"/>
    <n v="0"/>
    <m/>
    <n v="0"/>
    <n v="1"/>
    <n v="111"/>
    <n v="9"/>
    <x v="3"/>
    <n v="1"/>
    <n v="3"/>
    <n v="66"/>
    <n v="3"/>
    <n v="2"/>
    <n v="1"/>
    <n v="3072"/>
    <n v="11012"/>
    <n v="1"/>
    <n v="11"/>
    <n v="3"/>
    <n v="3"/>
    <n v="80"/>
    <n v="2"/>
    <n v="12"/>
    <n v="3"/>
    <n v="12"/>
    <n v="9"/>
    <n v="6"/>
    <n v="10"/>
  </r>
  <r>
    <s v="No"/>
    <s v="Travel_Rarely"/>
    <x v="1"/>
    <s v="Current Employees"/>
    <x v="0"/>
    <x v="0"/>
    <x v="174"/>
    <x v="174"/>
    <x v="0"/>
    <x v="0"/>
    <x v="2"/>
    <s v="Yes"/>
    <s v="Y"/>
    <n v="3"/>
    <n v="-2"/>
    <n v="0"/>
    <n v="45"/>
    <n v="0"/>
    <m/>
    <n v="0"/>
    <n v="1"/>
    <n v="1268"/>
    <n v="4"/>
    <x v="0"/>
    <n v="1"/>
    <n v="3"/>
    <n v="30"/>
    <n v="3"/>
    <n v="2"/>
    <n v="2"/>
    <n v="5006"/>
    <n v="6319"/>
    <n v="4"/>
    <n v="11"/>
    <n v="3"/>
    <n v="1"/>
    <n v="80"/>
    <n v="1"/>
    <n v="9"/>
    <n v="4"/>
    <n v="5"/>
    <n v="4"/>
    <n v="0"/>
    <n v="3"/>
  </r>
  <r>
    <s v="No"/>
    <s v="Travel_Rarely"/>
    <x v="3"/>
    <s v="Current Employees"/>
    <x v="1"/>
    <x v="0"/>
    <x v="175"/>
    <x v="175"/>
    <x v="0"/>
    <x v="1"/>
    <x v="2"/>
    <s v="Yes"/>
    <s v="Y"/>
    <n v="3"/>
    <n v="-2"/>
    <n v="0"/>
    <n v="56"/>
    <n v="0"/>
    <m/>
    <n v="0"/>
    <n v="1"/>
    <n v="713"/>
    <n v="8"/>
    <x v="3"/>
    <n v="1"/>
    <n v="3"/>
    <n v="67"/>
    <n v="3"/>
    <n v="1"/>
    <n v="2"/>
    <n v="4257"/>
    <n v="13939"/>
    <n v="4"/>
    <n v="18"/>
    <n v="3"/>
    <n v="3"/>
    <n v="80"/>
    <n v="1"/>
    <n v="19"/>
    <n v="3"/>
    <n v="2"/>
    <n v="2"/>
    <n v="2"/>
    <n v="2"/>
  </r>
  <r>
    <s v="No"/>
    <s v="Travel_Rarely"/>
    <x v="2"/>
    <s v="Current Employees"/>
    <x v="1"/>
    <x v="0"/>
    <x v="176"/>
    <x v="176"/>
    <x v="1"/>
    <x v="1"/>
    <x v="0"/>
    <s v="No"/>
    <s v="Y"/>
    <n v="2"/>
    <n v="-2"/>
    <n v="0"/>
    <n v="33"/>
    <n v="0"/>
    <m/>
    <n v="0"/>
    <n v="1"/>
    <n v="134"/>
    <n v="2"/>
    <x v="3"/>
    <n v="1"/>
    <n v="3"/>
    <n v="90"/>
    <n v="3"/>
    <n v="1"/>
    <n v="2"/>
    <n v="2500"/>
    <n v="10515"/>
    <n v="0"/>
    <n v="14"/>
    <n v="3"/>
    <n v="1"/>
    <n v="80"/>
    <n v="0"/>
    <n v="4"/>
    <n v="4"/>
    <n v="3"/>
    <n v="1"/>
    <n v="0"/>
    <n v="2"/>
  </r>
  <r>
    <s v="Yes"/>
    <s v="Travel_Rarely"/>
    <x v="4"/>
    <s v="Ex-Employees"/>
    <x v="1"/>
    <x v="0"/>
    <x v="177"/>
    <x v="177"/>
    <x v="1"/>
    <x v="2"/>
    <x v="0"/>
    <s v="No"/>
    <s v="Y"/>
    <n v="3"/>
    <n v="-2"/>
    <n v="0"/>
    <n v="19"/>
    <n v="1"/>
    <n v="1"/>
    <n v="1"/>
    <n v="0"/>
    <n v="303"/>
    <n v="2"/>
    <x v="3"/>
    <n v="1"/>
    <n v="2"/>
    <n v="47"/>
    <n v="2"/>
    <n v="1"/>
    <n v="2"/>
    <n v="1102"/>
    <n v="9241"/>
    <n v="1"/>
    <n v="22"/>
    <n v="4"/>
    <n v="3"/>
    <n v="80"/>
    <n v="0"/>
    <n v="1"/>
    <n v="2"/>
    <n v="1"/>
    <n v="0"/>
    <n v="1"/>
    <n v="0"/>
  </r>
  <r>
    <s v="No"/>
    <s v="Travel_Rarely"/>
    <x v="1"/>
    <s v="Current Employees"/>
    <x v="0"/>
    <x v="3"/>
    <x v="178"/>
    <x v="178"/>
    <x v="0"/>
    <x v="0"/>
    <x v="2"/>
    <s v="No"/>
    <s v="Y"/>
    <n v="2"/>
    <n v="-2"/>
    <n v="0"/>
    <n v="46"/>
    <n v="0"/>
    <m/>
    <n v="0"/>
    <n v="1"/>
    <n v="526"/>
    <n v="1"/>
    <x v="0"/>
    <n v="1"/>
    <n v="2"/>
    <n v="92"/>
    <n v="3"/>
    <n v="3"/>
    <n v="1"/>
    <n v="10453"/>
    <n v="2137"/>
    <n v="1"/>
    <n v="25"/>
    <n v="4"/>
    <n v="3"/>
    <n v="80"/>
    <n v="3"/>
    <n v="24"/>
    <n v="3"/>
    <n v="24"/>
    <n v="13"/>
    <n v="15"/>
    <n v="7"/>
  </r>
  <r>
    <s v="No"/>
    <s v="Travel_Rarely"/>
    <x v="0"/>
    <s v="Current Employees"/>
    <x v="1"/>
    <x v="0"/>
    <x v="179"/>
    <x v="179"/>
    <x v="0"/>
    <x v="2"/>
    <x v="0"/>
    <s v="No"/>
    <s v="Y"/>
    <n v="3"/>
    <n v="-2"/>
    <n v="0"/>
    <n v="38"/>
    <n v="0"/>
    <m/>
    <n v="0"/>
    <n v="1"/>
    <n v="1380"/>
    <n v="9"/>
    <x v="0"/>
    <n v="1"/>
    <n v="3"/>
    <n v="75"/>
    <n v="3"/>
    <n v="1"/>
    <n v="2"/>
    <n v="2288"/>
    <n v="6319"/>
    <n v="1"/>
    <n v="12"/>
    <n v="3"/>
    <n v="3"/>
    <n v="80"/>
    <n v="0"/>
    <n v="2"/>
    <n v="3"/>
    <n v="2"/>
    <n v="2"/>
    <n v="2"/>
    <n v="1"/>
  </r>
  <r>
    <s v="No"/>
    <s v="Travel_Rarely"/>
    <x v="2"/>
    <s v="Current Employees"/>
    <x v="1"/>
    <x v="2"/>
    <x v="180"/>
    <x v="180"/>
    <x v="0"/>
    <x v="1"/>
    <x v="1"/>
    <s v="Yes"/>
    <s v="Y"/>
    <n v="0"/>
    <n v="-2"/>
    <n v="0"/>
    <n v="31"/>
    <n v="0"/>
    <m/>
    <n v="0"/>
    <n v="1"/>
    <n v="140"/>
    <n v="12"/>
    <x v="1"/>
    <n v="1"/>
    <n v="3"/>
    <n v="95"/>
    <n v="3"/>
    <n v="1"/>
    <n v="4"/>
    <n v="3929"/>
    <n v="6984"/>
    <n v="8"/>
    <n v="23"/>
    <n v="4"/>
    <n v="3"/>
    <n v="80"/>
    <n v="1"/>
    <n v="7"/>
    <n v="3"/>
    <n v="4"/>
    <n v="2"/>
    <n v="0"/>
    <n v="2"/>
  </r>
  <r>
    <s v="No"/>
    <s v="Travel_Rarely"/>
    <x v="2"/>
    <s v="Current Employees"/>
    <x v="1"/>
    <x v="2"/>
    <x v="181"/>
    <x v="181"/>
    <x v="0"/>
    <x v="1"/>
    <x v="0"/>
    <s v="No"/>
    <s v="Y"/>
    <n v="3"/>
    <n v="-2"/>
    <n v="0"/>
    <n v="34"/>
    <n v="0"/>
    <m/>
    <n v="0"/>
    <n v="1"/>
    <n v="629"/>
    <n v="27"/>
    <x v="0"/>
    <n v="1"/>
    <n v="4"/>
    <n v="95"/>
    <n v="3"/>
    <n v="1"/>
    <n v="3"/>
    <n v="2311"/>
    <n v="5711"/>
    <n v="2"/>
    <n v="15"/>
    <n v="3"/>
    <n v="4"/>
    <n v="80"/>
    <n v="0"/>
    <n v="9"/>
    <n v="3"/>
    <n v="3"/>
    <n v="2"/>
    <n v="1"/>
    <n v="2"/>
  </r>
  <r>
    <s v="Yes"/>
    <s v="Travel_Rarely"/>
    <x v="0"/>
    <s v="Ex-Employees"/>
    <x v="0"/>
    <x v="3"/>
    <x v="182"/>
    <x v="182"/>
    <x v="0"/>
    <x v="6"/>
    <x v="0"/>
    <s v="Yes"/>
    <s v="Y"/>
    <n v="5"/>
    <n v="-2"/>
    <n v="0"/>
    <n v="41"/>
    <n v="1"/>
    <n v="1"/>
    <n v="1"/>
    <n v="0"/>
    <n v="1356"/>
    <n v="20"/>
    <x v="0"/>
    <n v="1"/>
    <n v="2"/>
    <n v="70"/>
    <n v="3"/>
    <n v="1"/>
    <n v="3"/>
    <n v="3140"/>
    <n v="21728"/>
    <n v="1"/>
    <n v="22"/>
    <n v="4"/>
    <n v="4"/>
    <n v="80"/>
    <n v="0"/>
    <n v="4"/>
    <n v="2"/>
    <n v="4"/>
    <n v="3"/>
    <n v="0"/>
    <n v="2"/>
  </r>
  <r>
    <s v="No"/>
    <s v="Travel_Rarely"/>
    <x v="1"/>
    <s v="Current Employees"/>
    <x v="1"/>
    <x v="2"/>
    <x v="183"/>
    <x v="183"/>
    <x v="1"/>
    <x v="2"/>
    <x v="1"/>
    <s v="No"/>
    <s v="Y"/>
    <n v="2"/>
    <n v="-2"/>
    <n v="0"/>
    <n v="50"/>
    <n v="0"/>
    <m/>
    <n v="0"/>
    <n v="1"/>
    <n v="328"/>
    <n v="1"/>
    <x v="3"/>
    <n v="1"/>
    <n v="3"/>
    <n v="86"/>
    <n v="2"/>
    <n v="1"/>
    <n v="3"/>
    <n v="3690"/>
    <n v="3425"/>
    <n v="2"/>
    <n v="15"/>
    <n v="3"/>
    <n v="4"/>
    <n v="80"/>
    <n v="1"/>
    <n v="5"/>
    <n v="2"/>
    <n v="3"/>
    <n v="2"/>
    <n v="0"/>
    <n v="2"/>
  </r>
  <r>
    <s v="No"/>
    <s v="Travel_Rarely"/>
    <x v="1"/>
    <s v="Current Employees"/>
    <x v="1"/>
    <x v="2"/>
    <x v="184"/>
    <x v="184"/>
    <x v="0"/>
    <x v="3"/>
    <x v="2"/>
    <s v="No"/>
    <s v="Y"/>
    <n v="3"/>
    <n v="-2"/>
    <n v="0"/>
    <n v="53"/>
    <n v="0"/>
    <m/>
    <n v="0"/>
    <n v="1"/>
    <n v="1084"/>
    <n v="13"/>
    <x v="0"/>
    <n v="1"/>
    <n v="4"/>
    <n v="57"/>
    <n v="4"/>
    <n v="2"/>
    <n v="3"/>
    <n v="4450"/>
    <n v="26250"/>
    <n v="1"/>
    <n v="11"/>
    <n v="3"/>
    <n v="3"/>
    <n v="80"/>
    <n v="2"/>
    <n v="5"/>
    <n v="3"/>
    <n v="4"/>
    <n v="2"/>
    <n v="1"/>
    <n v="3"/>
  </r>
  <r>
    <s v="No"/>
    <s v="Travel_Rarely"/>
    <x v="2"/>
    <s v="Current Employees"/>
    <x v="1"/>
    <x v="2"/>
    <x v="185"/>
    <x v="185"/>
    <x v="0"/>
    <x v="1"/>
    <x v="1"/>
    <s v="No"/>
    <s v="Y"/>
    <n v="5"/>
    <n v="-2"/>
    <n v="0"/>
    <n v="33"/>
    <n v="0"/>
    <m/>
    <n v="0"/>
    <n v="1"/>
    <n v="931"/>
    <n v="14"/>
    <x v="3"/>
    <n v="1"/>
    <n v="4"/>
    <n v="72"/>
    <n v="3"/>
    <n v="1"/>
    <n v="3"/>
    <n v="2756"/>
    <n v="4673"/>
    <n v="1"/>
    <n v="13"/>
    <n v="3"/>
    <n v="4"/>
    <n v="80"/>
    <n v="1"/>
    <n v="8"/>
    <n v="3"/>
    <n v="8"/>
    <n v="7"/>
    <n v="1"/>
    <n v="6"/>
  </r>
  <r>
    <s v="No"/>
    <s v="Travel_Rarely"/>
    <x v="0"/>
    <s v="Current Employees"/>
    <x v="1"/>
    <x v="2"/>
    <x v="186"/>
    <x v="186"/>
    <x v="0"/>
    <x v="5"/>
    <x v="1"/>
    <s v="No"/>
    <s v="Y"/>
    <n v="2"/>
    <n v="-2"/>
    <n v="0"/>
    <n v="40"/>
    <n v="0"/>
    <m/>
    <n v="0"/>
    <n v="1"/>
    <n v="989"/>
    <n v="4"/>
    <x v="1"/>
    <n v="1"/>
    <n v="4"/>
    <n v="46"/>
    <n v="3"/>
    <n v="5"/>
    <n v="3"/>
    <n v="19033"/>
    <n v="6499"/>
    <n v="1"/>
    <n v="14"/>
    <n v="3"/>
    <n v="2"/>
    <n v="80"/>
    <n v="1"/>
    <n v="21"/>
    <n v="3"/>
    <n v="20"/>
    <n v="8"/>
    <n v="9"/>
    <n v="9"/>
  </r>
  <r>
    <s v="No"/>
    <s v="Travel_Rarely"/>
    <x v="3"/>
    <s v="Current Employees"/>
    <x v="1"/>
    <x v="2"/>
    <x v="187"/>
    <x v="187"/>
    <x v="1"/>
    <x v="7"/>
    <x v="0"/>
    <s v="No"/>
    <s v="Y"/>
    <n v="3"/>
    <n v="-2"/>
    <n v="0"/>
    <n v="55"/>
    <n v="0"/>
    <m/>
    <n v="0"/>
    <n v="1"/>
    <n v="692"/>
    <n v="14"/>
    <x v="2"/>
    <n v="1"/>
    <n v="3"/>
    <n v="61"/>
    <n v="4"/>
    <n v="5"/>
    <n v="3"/>
    <n v="18722"/>
    <n v="13339"/>
    <n v="8"/>
    <n v="11"/>
    <n v="3"/>
    <n v="4"/>
    <n v="80"/>
    <n v="0"/>
    <n v="36"/>
    <n v="3"/>
    <n v="24"/>
    <n v="15"/>
    <n v="2"/>
    <n v="15"/>
  </r>
  <r>
    <s v="No"/>
    <s v="Travel_Frequently"/>
    <x v="2"/>
    <s v="Current Employees"/>
    <x v="1"/>
    <x v="0"/>
    <x v="188"/>
    <x v="188"/>
    <x v="1"/>
    <x v="3"/>
    <x v="1"/>
    <s v="No"/>
    <s v="Y"/>
    <n v="2"/>
    <n v="-2"/>
    <n v="0"/>
    <n v="34"/>
    <n v="0"/>
    <m/>
    <n v="0"/>
    <n v="1"/>
    <n v="1069"/>
    <n v="2"/>
    <x v="1"/>
    <n v="1"/>
    <n v="4"/>
    <n v="45"/>
    <n v="2"/>
    <n v="2"/>
    <n v="2"/>
    <n v="9547"/>
    <n v="14074"/>
    <n v="1"/>
    <n v="17"/>
    <n v="3"/>
    <n v="3"/>
    <n v="80"/>
    <n v="0"/>
    <n v="10"/>
    <n v="2"/>
    <n v="10"/>
    <n v="9"/>
    <n v="1"/>
    <n v="9"/>
  </r>
  <r>
    <s v="No"/>
    <s v="Travel_Rarely"/>
    <x v="1"/>
    <s v="Current Employees"/>
    <x v="1"/>
    <x v="2"/>
    <x v="189"/>
    <x v="189"/>
    <x v="0"/>
    <x v="4"/>
    <x v="0"/>
    <s v="No"/>
    <s v="Y"/>
    <n v="6"/>
    <n v="-2"/>
    <n v="0"/>
    <n v="51"/>
    <n v="0"/>
    <m/>
    <n v="0"/>
    <n v="1"/>
    <n v="313"/>
    <n v="3"/>
    <x v="3"/>
    <n v="1"/>
    <n v="4"/>
    <n v="98"/>
    <n v="3"/>
    <n v="4"/>
    <n v="3"/>
    <n v="13734"/>
    <n v="7192"/>
    <n v="3"/>
    <n v="18"/>
    <n v="3"/>
    <n v="3"/>
    <n v="80"/>
    <n v="0"/>
    <n v="21"/>
    <n v="3"/>
    <n v="7"/>
    <n v="7"/>
    <n v="1"/>
    <n v="0"/>
  </r>
  <r>
    <s v="No"/>
    <s v="Travel_Rarely"/>
    <x v="1"/>
    <s v="Current Employees"/>
    <x v="1"/>
    <x v="0"/>
    <x v="190"/>
    <x v="190"/>
    <x v="1"/>
    <x v="5"/>
    <x v="1"/>
    <s v="No"/>
    <s v="Y"/>
    <n v="5"/>
    <n v="-2"/>
    <n v="0"/>
    <n v="52"/>
    <n v="0"/>
    <m/>
    <n v="0"/>
    <n v="1"/>
    <n v="699"/>
    <n v="1"/>
    <x v="2"/>
    <n v="1"/>
    <n v="3"/>
    <n v="65"/>
    <n v="2"/>
    <n v="5"/>
    <n v="2"/>
    <n v="19999"/>
    <n v="5678"/>
    <n v="0"/>
    <n v="14"/>
    <n v="3"/>
    <n v="1"/>
    <n v="80"/>
    <n v="1"/>
    <n v="34"/>
    <n v="3"/>
    <n v="33"/>
    <n v="18"/>
    <n v="11"/>
    <n v="9"/>
  </r>
  <r>
    <s v="No"/>
    <s v="Travel_Rarely"/>
    <x v="2"/>
    <s v="Current Employees"/>
    <x v="1"/>
    <x v="2"/>
    <x v="191"/>
    <x v="191"/>
    <x v="0"/>
    <x v="1"/>
    <x v="0"/>
    <s v="No"/>
    <s v="Y"/>
    <n v="2"/>
    <n v="-2"/>
    <n v="0"/>
    <n v="27"/>
    <n v="0"/>
    <m/>
    <n v="0"/>
    <n v="1"/>
    <n v="894"/>
    <n v="9"/>
    <x v="3"/>
    <n v="1"/>
    <n v="4"/>
    <n v="99"/>
    <n v="3"/>
    <n v="1"/>
    <n v="3"/>
    <n v="2279"/>
    <n v="11781"/>
    <n v="1"/>
    <n v="16"/>
    <n v="3"/>
    <n v="4"/>
    <n v="80"/>
    <n v="0"/>
    <n v="7"/>
    <n v="2"/>
    <n v="7"/>
    <n v="7"/>
    <n v="0"/>
    <n v="3"/>
  </r>
  <r>
    <s v="Yes"/>
    <s v="Travel_Rarely"/>
    <x v="0"/>
    <s v="Ex-Employees"/>
    <x v="1"/>
    <x v="0"/>
    <x v="192"/>
    <x v="192"/>
    <x v="1"/>
    <x v="3"/>
    <x v="1"/>
    <s v="Yes"/>
    <s v="Y"/>
    <n v="1"/>
    <n v="-2"/>
    <n v="0"/>
    <n v="35"/>
    <n v="1"/>
    <n v="1"/>
    <n v="1"/>
    <n v="0"/>
    <n v="556"/>
    <n v="23"/>
    <x v="0"/>
    <n v="1"/>
    <n v="2"/>
    <n v="50"/>
    <n v="2"/>
    <n v="2"/>
    <n v="2"/>
    <n v="5916"/>
    <n v="15497"/>
    <n v="3"/>
    <n v="13"/>
    <n v="3"/>
    <n v="1"/>
    <n v="80"/>
    <n v="0"/>
    <n v="8"/>
    <n v="3"/>
    <n v="1"/>
    <n v="0"/>
    <n v="0"/>
    <n v="1"/>
  </r>
  <r>
    <s v="No"/>
    <s v="Non-Travel"/>
    <x v="0"/>
    <s v="Current Employees"/>
    <x v="1"/>
    <x v="2"/>
    <x v="193"/>
    <x v="193"/>
    <x v="1"/>
    <x v="1"/>
    <x v="2"/>
    <s v="No"/>
    <s v="Y"/>
    <n v="3"/>
    <n v="-2"/>
    <n v="0"/>
    <n v="43"/>
    <n v="0"/>
    <m/>
    <n v="0"/>
    <n v="1"/>
    <n v="1344"/>
    <n v="7"/>
    <x v="3"/>
    <n v="1"/>
    <n v="4"/>
    <n v="37"/>
    <n v="4"/>
    <n v="1"/>
    <n v="4"/>
    <n v="2089"/>
    <n v="5228"/>
    <n v="4"/>
    <n v="14"/>
    <n v="3"/>
    <n v="4"/>
    <n v="80"/>
    <n v="3"/>
    <n v="7"/>
    <n v="4"/>
    <n v="5"/>
    <n v="4"/>
    <n v="2"/>
    <n v="2"/>
  </r>
  <r>
    <s v="No"/>
    <s v="Non-Travel"/>
    <x v="1"/>
    <s v="Current Employees"/>
    <x v="1"/>
    <x v="2"/>
    <x v="194"/>
    <x v="194"/>
    <x v="1"/>
    <x v="5"/>
    <x v="1"/>
    <s v="No"/>
    <s v="Y"/>
    <n v="1"/>
    <n v="-2"/>
    <n v="0"/>
    <n v="45"/>
    <n v="0"/>
    <m/>
    <n v="0"/>
    <n v="1"/>
    <n v="1195"/>
    <n v="2"/>
    <x v="0"/>
    <n v="1"/>
    <n v="1"/>
    <n v="65"/>
    <n v="2"/>
    <n v="4"/>
    <n v="4"/>
    <n v="16792"/>
    <n v="20462"/>
    <n v="9"/>
    <n v="23"/>
    <n v="4"/>
    <n v="4"/>
    <n v="80"/>
    <n v="1"/>
    <n v="22"/>
    <n v="3"/>
    <n v="20"/>
    <n v="8"/>
    <n v="11"/>
    <n v="8"/>
  </r>
  <r>
    <s v="No"/>
    <s v="Travel_Rarely"/>
    <x v="0"/>
    <s v="Current Employees"/>
    <x v="1"/>
    <x v="0"/>
    <x v="195"/>
    <x v="195"/>
    <x v="1"/>
    <x v="1"/>
    <x v="1"/>
    <s v="Yes"/>
    <s v="Y"/>
    <n v="3"/>
    <n v="-2"/>
    <n v="0"/>
    <n v="37"/>
    <n v="0"/>
    <m/>
    <n v="0"/>
    <n v="1"/>
    <n v="290"/>
    <n v="21"/>
    <x v="3"/>
    <n v="1"/>
    <n v="2"/>
    <n v="65"/>
    <n v="4"/>
    <n v="1"/>
    <n v="2"/>
    <n v="3564"/>
    <n v="22977"/>
    <n v="1"/>
    <n v="12"/>
    <n v="3"/>
    <n v="1"/>
    <n v="80"/>
    <n v="1"/>
    <n v="8"/>
    <n v="2"/>
    <n v="8"/>
    <n v="7"/>
    <n v="1"/>
    <n v="7"/>
  </r>
  <r>
    <s v="No"/>
    <s v="Travel_Frequently"/>
    <x v="0"/>
    <s v="Current Employees"/>
    <x v="1"/>
    <x v="2"/>
    <x v="196"/>
    <x v="196"/>
    <x v="0"/>
    <x v="2"/>
    <x v="0"/>
    <s v="No"/>
    <s v="Y"/>
    <n v="5"/>
    <n v="-2"/>
    <n v="0"/>
    <n v="35"/>
    <n v="0"/>
    <m/>
    <n v="0"/>
    <n v="1"/>
    <n v="138"/>
    <n v="2"/>
    <x v="3"/>
    <n v="1"/>
    <n v="2"/>
    <n v="37"/>
    <n v="3"/>
    <n v="2"/>
    <n v="3"/>
    <n v="4425"/>
    <n v="15986"/>
    <n v="5"/>
    <n v="11"/>
    <n v="3"/>
    <n v="4"/>
    <n v="80"/>
    <n v="0"/>
    <n v="10"/>
    <n v="3"/>
    <n v="6"/>
    <n v="2"/>
    <n v="1"/>
    <n v="2"/>
  </r>
  <r>
    <s v="No"/>
    <s v="Non-Travel"/>
    <x v="0"/>
    <s v="Current Employees"/>
    <x v="1"/>
    <x v="2"/>
    <x v="197"/>
    <x v="197"/>
    <x v="0"/>
    <x v="3"/>
    <x v="2"/>
    <s v="No"/>
    <s v="Y"/>
    <n v="5"/>
    <n v="-2"/>
    <n v="0"/>
    <n v="42"/>
    <n v="0"/>
    <m/>
    <n v="0"/>
    <n v="1"/>
    <n v="926"/>
    <n v="21"/>
    <x v="0"/>
    <n v="1"/>
    <n v="3"/>
    <n v="36"/>
    <n v="3"/>
    <n v="2"/>
    <n v="3"/>
    <n v="5265"/>
    <n v="16439"/>
    <n v="2"/>
    <n v="16"/>
    <n v="3"/>
    <n v="2"/>
    <n v="80"/>
    <n v="1"/>
    <n v="11"/>
    <n v="3"/>
    <n v="5"/>
    <n v="3"/>
    <n v="0"/>
    <n v="2"/>
  </r>
  <r>
    <s v="No"/>
    <s v="Travel_Rarely"/>
    <x v="0"/>
    <s v="Current Employees"/>
    <x v="1"/>
    <x v="0"/>
    <x v="198"/>
    <x v="198"/>
    <x v="1"/>
    <x v="3"/>
    <x v="1"/>
    <s v="No"/>
    <s v="Y"/>
    <n v="3"/>
    <n v="-2"/>
    <n v="0"/>
    <n v="38"/>
    <n v="0"/>
    <m/>
    <n v="0"/>
    <n v="1"/>
    <n v="1261"/>
    <n v="2"/>
    <x v="2"/>
    <n v="1"/>
    <n v="4"/>
    <n v="88"/>
    <n v="3"/>
    <n v="2"/>
    <n v="2"/>
    <n v="6553"/>
    <n v="7259"/>
    <n v="9"/>
    <n v="14"/>
    <n v="3"/>
    <n v="2"/>
    <n v="80"/>
    <n v="0"/>
    <n v="14"/>
    <n v="3"/>
    <n v="1"/>
    <n v="0"/>
    <n v="0"/>
    <n v="0"/>
  </r>
  <r>
    <s v="No"/>
    <s v="Travel_Rarely"/>
    <x v="0"/>
    <s v="Current Employees"/>
    <x v="1"/>
    <x v="4"/>
    <x v="199"/>
    <x v="199"/>
    <x v="1"/>
    <x v="3"/>
    <x v="1"/>
    <s v="No"/>
    <s v="Y"/>
    <n v="3"/>
    <n v="-2"/>
    <n v="0"/>
    <n v="38"/>
    <n v="0"/>
    <m/>
    <n v="0"/>
    <n v="1"/>
    <n v="1084"/>
    <n v="29"/>
    <x v="3"/>
    <n v="1"/>
    <n v="4"/>
    <n v="54"/>
    <n v="3"/>
    <n v="2"/>
    <n v="4"/>
    <n v="6261"/>
    <n v="4185"/>
    <n v="3"/>
    <n v="18"/>
    <n v="3"/>
    <n v="1"/>
    <n v="80"/>
    <n v="1"/>
    <n v="9"/>
    <n v="1"/>
    <n v="7"/>
    <n v="7"/>
    <n v="1"/>
    <n v="7"/>
  </r>
  <r>
    <s v="No"/>
    <s v="Travel_Frequently"/>
    <x v="2"/>
    <s v="Current Employees"/>
    <x v="1"/>
    <x v="4"/>
    <x v="200"/>
    <x v="200"/>
    <x v="1"/>
    <x v="3"/>
    <x v="1"/>
    <s v="No"/>
    <s v="Y"/>
    <n v="1"/>
    <n v="-2"/>
    <n v="0"/>
    <n v="27"/>
    <n v="0"/>
    <m/>
    <n v="0"/>
    <n v="1"/>
    <n v="472"/>
    <n v="1"/>
    <x v="1"/>
    <n v="1"/>
    <n v="3"/>
    <n v="60"/>
    <n v="2"/>
    <n v="2"/>
    <n v="4"/>
    <n v="4298"/>
    <n v="9679"/>
    <n v="5"/>
    <n v="19"/>
    <n v="3"/>
    <n v="3"/>
    <n v="80"/>
    <n v="1"/>
    <n v="6"/>
    <n v="3"/>
    <n v="2"/>
    <n v="2"/>
    <n v="2"/>
    <n v="0"/>
  </r>
  <r>
    <s v="No"/>
    <s v="Non-Travel"/>
    <x v="1"/>
    <s v="Current Employees"/>
    <x v="1"/>
    <x v="0"/>
    <x v="201"/>
    <x v="201"/>
    <x v="1"/>
    <x v="3"/>
    <x v="2"/>
    <s v="Yes"/>
    <s v="Y"/>
    <n v="0"/>
    <n v="-2"/>
    <n v="0"/>
    <n v="49"/>
    <n v="0"/>
    <m/>
    <n v="0"/>
    <n v="1"/>
    <n v="1002"/>
    <n v="18"/>
    <x v="2"/>
    <n v="1"/>
    <n v="4"/>
    <n v="92"/>
    <n v="3"/>
    <n v="2"/>
    <n v="2"/>
    <n v="6804"/>
    <n v="23793"/>
    <n v="1"/>
    <n v="15"/>
    <n v="3"/>
    <n v="1"/>
    <n v="80"/>
    <n v="2"/>
    <n v="7"/>
    <n v="3"/>
    <n v="7"/>
    <n v="7"/>
    <n v="1"/>
    <n v="7"/>
  </r>
  <r>
    <s v="No"/>
    <s v="Travel_Frequently"/>
    <x v="2"/>
    <s v="Current Employees"/>
    <x v="1"/>
    <x v="2"/>
    <x v="202"/>
    <x v="202"/>
    <x v="1"/>
    <x v="1"/>
    <x v="2"/>
    <s v="Yes"/>
    <s v="Y"/>
    <n v="4"/>
    <n v="-2"/>
    <n v="0"/>
    <n v="34"/>
    <n v="0"/>
    <m/>
    <n v="0"/>
    <n v="1"/>
    <n v="878"/>
    <n v="10"/>
    <x v="2"/>
    <n v="1"/>
    <n v="4"/>
    <n v="43"/>
    <n v="3"/>
    <n v="1"/>
    <n v="3"/>
    <n v="3815"/>
    <n v="5972"/>
    <n v="1"/>
    <n v="17"/>
    <n v="3"/>
    <n v="4"/>
    <n v="80"/>
    <n v="1"/>
    <n v="5"/>
    <n v="4"/>
    <n v="5"/>
    <n v="3"/>
    <n v="2"/>
    <n v="0"/>
  </r>
  <r>
    <s v="No"/>
    <s v="Travel_Rarely"/>
    <x v="0"/>
    <s v="Current Employees"/>
    <x v="1"/>
    <x v="2"/>
    <x v="203"/>
    <x v="203"/>
    <x v="1"/>
    <x v="2"/>
    <x v="1"/>
    <s v="Yes"/>
    <s v="Y"/>
    <n v="2"/>
    <n v="-2"/>
    <n v="0"/>
    <n v="40"/>
    <n v="0"/>
    <m/>
    <n v="0"/>
    <n v="1"/>
    <n v="905"/>
    <n v="19"/>
    <x v="0"/>
    <n v="1"/>
    <n v="3"/>
    <n v="99"/>
    <n v="3"/>
    <n v="2"/>
    <n v="4"/>
    <n v="2741"/>
    <n v="16523"/>
    <n v="8"/>
    <n v="15"/>
    <n v="3"/>
    <n v="3"/>
    <n v="80"/>
    <n v="1"/>
    <n v="15"/>
    <n v="4"/>
    <n v="7"/>
    <n v="2"/>
    <n v="3"/>
    <n v="7"/>
  </r>
  <r>
    <s v="Yes"/>
    <s v="Travel_Rarely"/>
    <x v="0"/>
    <s v="Ex-Employees"/>
    <x v="1"/>
    <x v="2"/>
    <x v="204"/>
    <x v="204"/>
    <x v="1"/>
    <x v="4"/>
    <x v="1"/>
    <s v="Yes"/>
    <s v="Y"/>
    <n v="2"/>
    <n v="-2"/>
    <n v="0"/>
    <n v="38"/>
    <n v="1"/>
    <n v="1"/>
    <n v="1"/>
    <n v="0"/>
    <n v="1180"/>
    <n v="29"/>
    <x v="1"/>
    <n v="1"/>
    <n v="2"/>
    <n v="70"/>
    <n v="3"/>
    <n v="2"/>
    <n v="3"/>
    <n v="6673"/>
    <n v="11354"/>
    <n v="7"/>
    <n v="19"/>
    <n v="3"/>
    <n v="2"/>
    <n v="80"/>
    <n v="0"/>
    <n v="17"/>
    <n v="3"/>
    <n v="1"/>
    <n v="0"/>
    <n v="0"/>
    <n v="0"/>
  </r>
  <r>
    <s v="Yes"/>
    <s v="Travel_Rarely"/>
    <x v="2"/>
    <s v="Ex-Employees"/>
    <x v="0"/>
    <x v="3"/>
    <x v="205"/>
    <x v="205"/>
    <x v="0"/>
    <x v="0"/>
    <x v="1"/>
    <s v="No"/>
    <s v="Y"/>
    <n v="3"/>
    <n v="-2"/>
    <n v="0"/>
    <n v="29"/>
    <n v="1"/>
    <n v="1"/>
    <n v="1"/>
    <n v="0"/>
    <n v="121"/>
    <n v="27"/>
    <x v="3"/>
    <n v="1"/>
    <n v="2"/>
    <n v="35"/>
    <n v="3"/>
    <n v="3"/>
    <n v="4"/>
    <n v="7639"/>
    <n v="24525"/>
    <n v="1"/>
    <n v="22"/>
    <n v="4"/>
    <n v="4"/>
    <n v="80"/>
    <n v="3"/>
    <n v="10"/>
    <n v="2"/>
    <n v="10"/>
    <n v="4"/>
    <n v="1"/>
    <n v="9"/>
  </r>
  <r>
    <s v="No"/>
    <s v="Travel_Rarely"/>
    <x v="4"/>
    <s v="Current Employees"/>
    <x v="1"/>
    <x v="0"/>
    <x v="206"/>
    <x v="206"/>
    <x v="1"/>
    <x v="1"/>
    <x v="2"/>
    <s v="Yes"/>
    <s v="Y"/>
    <n v="2"/>
    <n v="-2"/>
    <n v="0"/>
    <n v="22"/>
    <n v="0"/>
    <m/>
    <n v="0"/>
    <n v="1"/>
    <n v="1136"/>
    <n v="5"/>
    <x v="3"/>
    <n v="1"/>
    <n v="4"/>
    <n v="60"/>
    <n v="4"/>
    <n v="1"/>
    <n v="2"/>
    <n v="2328"/>
    <n v="12392"/>
    <n v="1"/>
    <n v="16"/>
    <n v="3"/>
    <n v="1"/>
    <n v="80"/>
    <n v="1"/>
    <n v="4"/>
    <n v="2"/>
    <n v="4"/>
    <n v="2"/>
    <n v="2"/>
    <n v="2"/>
  </r>
  <r>
    <s v="No"/>
    <s v="Travel_Frequently"/>
    <x v="0"/>
    <s v="Current Employees"/>
    <x v="1"/>
    <x v="2"/>
    <x v="207"/>
    <x v="207"/>
    <x v="0"/>
    <x v="2"/>
    <x v="0"/>
    <s v="No"/>
    <s v="Y"/>
    <n v="2"/>
    <n v="-2"/>
    <n v="0"/>
    <n v="36"/>
    <n v="0"/>
    <m/>
    <n v="0"/>
    <n v="1"/>
    <n v="635"/>
    <n v="18"/>
    <x v="1"/>
    <n v="1"/>
    <n v="2"/>
    <n v="73"/>
    <n v="3"/>
    <n v="1"/>
    <n v="4"/>
    <n v="2153"/>
    <n v="7703"/>
    <n v="1"/>
    <n v="13"/>
    <n v="3"/>
    <n v="1"/>
    <n v="80"/>
    <n v="0"/>
    <n v="8"/>
    <n v="3"/>
    <n v="8"/>
    <n v="1"/>
    <n v="1"/>
    <n v="7"/>
  </r>
  <r>
    <s v="No"/>
    <s v="Non-Travel"/>
    <x v="0"/>
    <s v="Current Employees"/>
    <x v="1"/>
    <x v="0"/>
    <x v="208"/>
    <x v="208"/>
    <x v="1"/>
    <x v="4"/>
    <x v="1"/>
    <s v="No"/>
    <s v="Y"/>
    <n v="5"/>
    <n v="-2"/>
    <n v="0"/>
    <n v="40"/>
    <n v="0"/>
    <m/>
    <n v="0"/>
    <n v="1"/>
    <n v="1151"/>
    <n v="9"/>
    <x v="4"/>
    <n v="1"/>
    <n v="4"/>
    <n v="63"/>
    <n v="2"/>
    <n v="2"/>
    <n v="2"/>
    <n v="4876"/>
    <n v="14242"/>
    <n v="9"/>
    <n v="14"/>
    <n v="3"/>
    <n v="4"/>
    <n v="80"/>
    <n v="1"/>
    <n v="5"/>
    <n v="1"/>
    <n v="3"/>
    <n v="2"/>
    <n v="0"/>
    <n v="2"/>
  </r>
  <r>
    <s v="No"/>
    <s v="Travel_Rarely"/>
    <x v="1"/>
    <s v="Current Employees"/>
    <x v="1"/>
    <x v="2"/>
    <x v="209"/>
    <x v="209"/>
    <x v="1"/>
    <x v="4"/>
    <x v="2"/>
    <s v="No"/>
    <s v="Y"/>
    <n v="3"/>
    <n v="-2"/>
    <n v="0"/>
    <n v="46"/>
    <n v="0"/>
    <m/>
    <n v="0"/>
    <n v="1"/>
    <n v="644"/>
    <n v="1"/>
    <x v="2"/>
    <n v="1"/>
    <n v="4"/>
    <n v="97"/>
    <n v="3"/>
    <n v="3"/>
    <n v="3"/>
    <n v="9396"/>
    <n v="12368"/>
    <n v="7"/>
    <n v="16"/>
    <n v="3"/>
    <n v="3"/>
    <n v="80"/>
    <n v="1"/>
    <n v="17"/>
    <n v="3"/>
    <n v="4"/>
    <n v="2"/>
    <n v="0"/>
    <n v="3"/>
  </r>
  <r>
    <s v="Yes"/>
    <s v="Travel_Rarely"/>
    <x v="2"/>
    <s v="Ex-Employees"/>
    <x v="0"/>
    <x v="2"/>
    <x v="210"/>
    <x v="210"/>
    <x v="1"/>
    <x v="0"/>
    <x v="1"/>
    <s v="No"/>
    <s v="Y"/>
    <n v="2"/>
    <n v="-2"/>
    <n v="0"/>
    <n v="32"/>
    <n v="1"/>
    <n v="1"/>
    <n v="1"/>
    <n v="0"/>
    <n v="1045"/>
    <n v="4"/>
    <x v="2"/>
    <n v="1"/>
    <n v="4"/>
    <n v="32"/>
    <n v="1"/>
    <n v="3"/>
    <n v="4"/>
    <n v="10400"/>
    <n v="25812"/>
    <n v="1"/>
    <n v="11"/>
    <n v="3"/>
    <n v="3"/>
    <n v="80"/>
    <n v="0"/>
    <n v="14"/>
    <n v="2"/>
    <n v="14"/>
    <n v="8"/>
    <n v="9"/>
    <n v="8"/>
  </r>
  <r>
    <s v="No"/>
    <s v="Non-Travel"/>
    <x v="2"/>
    <s v="Current Employees"/>
    <x v="1"/>
    <x v="0"/>
    <x v="211"/>
    <x v="211"/>
    <x v="1"/>
    <x v="3"/>
    <x v="0"/>
    <s v="No"/>
    <s v="Y"/>
    <n v="2"/>
    <n v="-2"/>
    <n v="0"/>
    <n v="30"/>
    <n v="0"/>
    <m/>
    <n v="0"/>
    <n v="1"/>
    <n v="829"/>
    <n v="1"/>
    <x v="1"/>
    <n v="1"/>
    <n v="3"/>
    <n v="88"/>
    <n v="2"/>
    <n v="3"/>
    <n v="2"/>
    <n v="8474"/>
    <n v="20925"/>
    <n v="1"/>
    <n v="22"/>
    <n v="4"/>
    <n v="3"/>
    <n v="80"/>
    <n v="0"/>
    <n v="12"/>
    <n v="3"/>
    <n v="11"/>
    <n v="8"/>
    <n v="5"/>
    <n v="8"/>
  </r>
  <r>
    <s v="No"/>
    <s v="Travel_Frequently"/>
    <x v="2"/>
    <s v="Current Employees"/>
    <x v="0"/>
    <x v="0"/>
    <x v="212"/>
    <x v="212"/>
    <x v="0"/>
    <x v="0"/>
    <x v="0"/>
    <s v="No"/>
    <s v="Y"/>
    <n v="2"/>
    <n v="-2"/>
    <n v="0"/>
    <n v="27"/>
    <n v="0"/>
    <m/>
    <n v="0"/>
    <n v="1"/>
    <n v="1242"/>
    <n v="20"/>
    <x v="3"/>
    <n v="1"/>
    <n v="4"/>
    <n v="90"/>
    <n v="3"/>
    <n v="2"/>
    <n v="2"/>
    <n v="9981"/>
    <n v="12916"/>
    <n v="1"/>
    <n v="14"/>
    <n v="3"/>
    <n v="4"/>
    <n v="80"/>
    <n v="0"/>
    <n v="7"/>
    <n v="3"/>
    <n v="7"/>
    <n v="7"/>
    <n v="0"/>
    <n v="7"/>
  </r>
  <r>
    <s v="No"/>
    <s v="Travel_Rarely"/>
    <x v="1"/>
    <s v="Current Employees"/>
    <x v="1"/>
    <x v="0"/>
    <x v="213"/>
    <x v="213"/>
    <x v="1"/>
    <x v="7"/>
    <x v="1"/>
    <s v="No"/>
    <s v="Y"/>
    <n v="5"/>
    <n v="-2"/>
    <n v="0"/>
    <n v="51"/>
    <n v="0"/>
    <m/>
    <n v="0"/>
    <n v="1"/>
    <n v="1469"/>
    <n v="8"/>
    <x v="2"/>
    <n v="1"/>
    <n v="2"/>
    <n v="81"/>
    <n v="2"/>
    <n v="3"/>
    <n v="2"/>
    <n v="12490"/>
    <n v="15736"/>
    <n v="5"/>
    <n v="16"/>
    <n v="3"/>
    <n v="4"/>
    <n v="80"/>
    <n v="2"/>
    <n v="16"/>
    <n v="1"/>
    <n v="10"/>
    <n v="9"/>
    <n v="4"/>
    <n v="7"/>
  </r>
  <r>
    <s v="Yes"/>
    <s v="Travel_Rarely"/>
    <x v="2"/>
    <s v="Ex-Employees"/>
    <x v="1"/>
    <x v="4"/>
    <x v="214"/>
    <x v="214"/>
    <x v="0"/>
    <x v="1"/>
    <x v="0"/>
    <s v="Yes"/>
    <s v="Y"/>
    <n v="5"/>
    <n v="-2"/>
    <n v="0"/>
    <n v="30"/>
    <n v="1"/>
    <n v="1"/>
    <n v="1"/>
    <n v="0"/>
    <n v="1005"/>
    <n v="3"/>
    <x v="3"/>
    <n v="1"/>
    <n v="4"/>
    <n v="88"/>
    <n v="3"/>
    <n v="1"/>
    <n v="4"/>
    <n v="2657"/>
    <n v="8556"/>
    <n v="5"/>
    <n v="11"/>
    <n v="3"/>
    <n v="3"/>
    <n v="80"/>
    <n v="0"/>
    <n v="8"/>
    <n v="3"/>
    <n v="5"/>
    <n v="2"/>
    <n v="0"/>
    <n v="4"/>
  </r>
  <r>
    <s v="No"/>
    <s v="Travel_Rarely"/>
    <x v="0"/>
    <s v="Current Employees"/>
    <x v="0"/>
    <x v="0"/>
    <x v="215"/>
    <x v="215"/>
    <x v="0"/>
    <x v="5"/>
    <x v="0"/>
    <s v="Yes"/>
    <s v="Y"/>
    <n v="3"/>
    <n v="-2"/>
    <n v="0"/>
    <n v="41"/>
    <n v="0"/>
    <m/>
    <n v="0"/>
    <n v="1"/>
    <n v="896"/>
    <n v="6"/>
    <x v="3"/>
    <n v="1"/>
    <n v="4"/>
    <n v="75"/>
    <n v="3"/>
    <n v="3"/>
    <n v="2"/>
    <n v="13591"/>
    <n v="14674"/>
    <n v="3"/>
    <n v="18"/>
    <n v="3"/>
    <n v="3"/>
    <n v="80"/>
    <n v="0"/>
    <n v="16"/>
    <n v="3"/>
    <n v="1"/>
    <n v="0"/>
    <n v="0"/>
    <n v="0"/>
  </r>
  <r>
    <s v="Yes"/>
    <s v="Travel_Frequently"/>
    <x v="2"/>
    <s v="Ex-Employees"/>
    <x v="0"/>
    <x v="3"/>
    <x v="216"/>
    <x v="216"/>
    <x v="0"/>
    <x v="0"/>
    <x v="0"/>
    <s v="No"/>
    <s v="Y"/>
    <n v="5"/>
    <n v="-2"/>
    <n v="0"/>
    <n v="30"/>
    <n v="1"/>
    <n v="1"/>
    <n v="1"/>
    <n v="0"/>
    <n v="334"/>
    <n v="26"/>
    <x v="2"/>
    <n v="1"/>
    <n v="3"/>
    <n v="52"/>
    <n v="2"/>
    <n v="2"/>
    <n v="3"/>
    <n v="6696"/>
    <n v="22967"/>
    <n v="5"/>
    <n v="15"/>
    <n v="3"/>
    <n v="3"/>
    <n v="80"/>
    <n v="0"/>
    <n v="9"/>
    <n v="2"/>
    <n v="6"/>
    <n v="3"/>
    <n v="0"/>
    <n v="1"/>
  </r>
  <r>
    <s v="Yes"/>
    <s v="Travel_Rarely"/>
    <x v="2"/>
    <s v="Ex-Employees"/>
    <x v="1"/>
    <x v="4"/>
    <x v="217"/>
    <x v="217"/>
    <x v="1"/>
    <x v="1"/>
    <x v="0"/>
    <s v="No"/>
    <s v="Y"/>
    <n v="1"/>
    <n v="-2"/>
    <n v="0"/>
    <n v="29"/>
    <n v="1"/>
    <n v="1"/>
    <n v="1"/>
    <n v="0"/>
    <n v="992"/>
    <n v="1"/>
    <x v="3"/>
    <n v="1"/>
    <n v="3"/>
    <n v="85"/>
    <n v="3"/>
    <n v="1"/>
    <n v="4"/>
    <n v="2058"/>
    <n v="19757"/>
    <n v="0"/>
    <n v="14"/>
    <n v="3"/>
    <n v="4"/>
    <n v="80"/>
    <n v="0"/>
    <n v="7"/>
    <n v="2"/>
    <n v="6"/>
    <n v="2"/>
    <n v="1"/>
    <n v="5"/>
  </r>
  <r>
    <s v="No"/>
    <s v="Non-Travel"/>
    <x v="1"/>
    <s v="Current Employees"/>
    <x v="0"/>
    <x v="2"/>
    <x v="218"/>
    <x v="218"/>
    <x v="0"/>
    <x v="0"/>
    <x v="0"/>
    <s v="No"/>
    <s v="Y"/>
    <n v="2"/>
    <n v="-2"/>
    <n v="0"/>
    <n v="45"/>
    <n v="0"/>
    <m/>
    <n v="0"/>
    <n v="1"/>
    <n v="1052"/>
    <n v="6"/>
    <x v="3"/>
    <n v="1"/>
    <n v="4"/>
    <n v="57"/>
    <n v="2"/>
    <n v="3"/>
    <n v="4"/>
    <n v="8865"/>
    <n v="16840"/>
    <n v="6"/>
    <n v="12"/>
    <n v="3"/>
    <n v="4"/>
    <n v="80"/>
    <n v="0"/>
    <n v="23"/>
    <n v="3"/>
    <n v="19"/>
    <n v="7"/>
    <n v="12"/>
    <n v="8"/>
  </r>
  <r>
    <s v="No"/>
    <s v="Travel_Rarely"/>
    <x v="1"/>
    <s v="Current Employees"/>
    <x v="0"/>
    <x v="3"/>
    <x v="219"/>
    <x v="219"/>
    <x v="0"/>
    <x v="0"/>
    <x v="1"/>
    <s v="No"/>
    <s v="Y"/>
    <n v="4"/>
    <n v="-2"/>
    <n v="0"/>
    <n v="54"/>
    <n v="0"/>
    <m/>
    <n v="0"/>
    <n v="1"/>
    <n v="1147"/>
    <n v="3"/>
    <x v="3"/>
    <n v="1"/>
    <n v="4"/>
    <n v="52"/>
    <n v="3"/>
    <n v="2"/>
    <n v="1"/>
    <n v="5940"/>
    <n v="17011"/>
    <n v="2"/>
    <n v="14"/>
    <n v="3"/>
    <n v="4"/>
    <n v="80"/>
    <n v="1"/>
    <n v="16"/>
    <n v="3"/>
    <n v="6"/>
    <n v="2"/>
    <n v="0"/>
    <n v="5"/>
  </r>
  <r>
    <s v="No"/>
    <s v="Travel_Rarely"/>
    <x v="0"/>
    <s v="Current Employees"/>
    <x v="1"/>
    <x v="0"/>
    <x v="220"/>
    <x v="220"/>
    <x v="1"/>
    <x v="2"/>
    <x v="0"/>
    <s v="No"/>
    <s v="Y"/>
    <n v="3"/>
    <n v="-2"/>
    <n v="0"/>
    <n v="36"/>
    <n v="0"/>
    <m/>
    <n v="0"/>
    <n v="1"/>
    <n v="1396"/>
    <n v="5"/>
    <x v="0"/>
    <n v="1"/>
    <n v="4"/>
    <n v="62"/>
    <n v="3"/>
    <n v="2"/>
    <n v="2"/>
    <n v="5914"/>
    <n v="9945"/>
    <n v="8"/>
    <n v="16"/>
    <n v="3"/>
    <n v="4"/>
    <n v="80"/>
    <n v="0"/>
    <n v="16"/>
    <n v="4"/>
    <n v="13"/>
    <n v="11"/>
    <n v="3"/>
    <n v="7"/>
  </r>
  <r>
    <s v="No"/>
    <s v="Travel_Rarely"/>
    <x v="2"/>
    <s v="Current Employees"/>
    <x v="1"/>
    <x v="2"/>
    <x v="221"/>
    <x v="221"/>
    <x v="0"/>
    <x v="1"/>
    <x v="1"/>
    <s v="No"/>
    <s v="Y"/>
    <n v="3"/>
    <n v="-2"/>
    <n v="0"/>
    <n v="33"/>
    <n v="0"/>
    <m/>
    <n v="0"/>
    <n v="1"/>
    <n v="147"/>
    <n v="4"/>
    <x v="2"/>
    <n v="1"/>
    <n v="3"/>
    <n v="47"/>
    <n v="2"/>
    <n v="1"/>
    <n v="3"/>
    <n v="2622"/>
    <n v="13248"/>
    <n v="6"/>
    <n v="21"/>
    <n v="4"/>
    <n v="4"/>
    <n v="80"/>
    <n v="0"/>
    <n v="7"/>
    <n v="3"/>
    <n v="3"/>
    <n v="2"/>
    <n v="1"/>
    <n v="1"/>
  </r>
  <r>
    <s v="No"/>
    <s v="Travel_Frequently"/>
    <x v="0"/>
    <s v="Current Employees"/>
    <x v="1"/>
    <x v="1"/>
    <x v="222"/>
    <x v="222"/>
    <x v="1"/>
    <x v="7"/>
    <x v="2"/>
    <s v="Yes"/>
    <s v="Y"/>
    <n v="1"/>
    <n v="-2"/>
    <n v="0"/>
    <n v="37"/>
    <n v="0"/>
    <m/>
    <n v="0"/>
    <n v="1"/>
    <n v="663"/>
    <n v="11"/>
    <x v="3"/>
    <n v="1"/>
    <n v="2"/>
    <n v="47"/>
    <n v="3"/>
    <n v="3"/>
    <n v="4"/>
    <n v="12185"/>
    <n v="10056"/>
    <n v="1"/>
    <n v="14"/>
    <n v="3"/>
    <n v="3"/>
    <n v="80"/>
    <n v="3"/>
    <n v="10"/>
    <n v="3"/>
    <n v="10"/>
    <n v="8"/>
    <n v="0"/>
    <n v="7"/>
  </r>
  <r>
    <s v="No"/>
    <s v="Travel_Rarely"/>
    <x v="0"/>
    <s v="Current Employees"/>
    <x v="0"/>
    <x v="0"/>
    <x v="223"/>
    <x v="223"/>
    <x v="1"/>
    <x v="0"/>
    <x v="2"/>
    <s v="No"/>
    <s v="Y"/>
    <n v="6"/>
    <n v="-2"/>
    <n v="0"/>
    <n v="38"/>
    <n v="0"/>
    <m/>
    <n v="0"/>
    <n v="1"/>
    <n v="119"/>
    <n v="3"/>
    <x v="3"/>
    <n v="1"/>
    <n v="1"/>
    <n v="76"/>
    <n v="3"/>
    <n v="3"/>
    <n v="2"/>
    <n v="10609"/>
    <n v="9647"/>
    <n v="0"/>
    <n v="12"/>
    <n v="3"/>
    <n v="3"/>
    <n v="80"/>
    <n v="2"/>
    <n v="17"/>
    <n v="2"/>
    <n v="16"/>
    <n v="10"/>
    <n v="5"/>
    <n v="13"/>
  </r>
  <r>
    <s v="No"/>
    <s v="Non-Travel"/>
    <x v="2"/>
    <s v="Current Employees"/>
    <x v="1"/>
    <x v="2"/>
    <x v="224"/>
    <x v="224"/>
    <x v="1"/>
    <x v="3"/>
    <x v="1"/>
    <s v="No"/>
    <s v="Y"/>
    <n v="2"/>
    <n v="-2"/>
    <n v="0"/>
    <n v="31"/>
    <n v="0"/>
    <m/>
    <n v="0"/>
    <n v="1"/>
    <n v="979"/>
    <n v="1"/>
    <x v="2"/>
    <n v="1"/>
    <n v="3"/>
    <n v="90"/>
    <n v="1"/>
    <n v="2"/>
    <n v="3"/>
    <n v="4345"/>
    <n v="4381"/>
    <n v="0"/>
    <n v="12"/>
    <n v="3"/>
    <n v="4"/>
    <n v="80"/>
    <n v="1"/>
    <n v="6"/>
    <n v="3"/>
    <n v="5"/>
    <n v="4"/>
    <n v="1"/>
    <n v="4"/>
  </r>
  <r>
    <s v="No"/>
    <s v="Travel_Rarely"/>
    <x v="3"/>
    <s v="Current Employees"/>
    <x v="1"/>
    <x v="0"/>
    <x v="225"/>
    <x v="225"/>
    <x v="1"/>
    <x v="1"/>
    <x v="1"/>
    <s v="No"/>
    <s v="Y"/>
    <n v="6"/>
    <n v="-2"/>
    <n v="0"/>
    <n v="59"/>
    <n v="0"/>
    <m/>
    <n v="0"/>
    <n v="1"/>
    <n v="142"/>
    <n v="3"/>
    <x v="3"/>
    <n v="1"/>
    <n v="3"/>
    <n v="70"/>
    <n v="2"/>
    <n v="1"/>
    <n v="2"/>
    <n v="2177"/>
    <n v="8456"/>
    <n v="3"/>
    <n v="17"/>
    <n v="3"/>
    <n v="1"/>
    <n v="80"/>
    <n v="1"/>
    <n v="7"/>
    <n v="3"/>
    <n v="1"/>
    <n v="0"/>
    <n v="0"/>
    <n v="0"/>
  </r>
  <r>
    <s v="No"/>
    <s v="Travel_Frequently"/>
    <x v="0"/>
    <s v="Current Employees"/>
    <x v="0"/>
    <x v="3"/>
    <x v="226"/>
    <x v="226"/>
    <x v="1"/>
    <x v="6"/>
    <x v="2"/>
    <s v="No"/>
    <s v="Y"/>
    <n v="2"/>
    <n v="-2"/>
    <n v="0"/>
    <n v="37"/>
    <n v="0"/>
    <m/>
    <n v="0"/>
    <n v="1"/>
    <n v="319"/>
    <n v="4"/>
    <x v="2"/>
    <n v="1"/>
    <n v="1"/>
    <n v="41"/>
    <n v="3"/>
    <n v="1"/>
    <n v="1"/>
    <n v="2793"/>
    <n v="2539"/>
    <n v="4"/>
    <n v="17"/>
    <n v="3"/>
    <n v="3"/>
    <n v="80"/>
    <n v="1"/>
    <n v="13"/>
    <n v="3"/>
    <n v="9"/>
    <n v="8"/>
    <n v="5"/>
    <n v="8"/>
  </r>
  <r>
    <s v="No"/>
    <s v="Travel_Frequently"/>
    <x v="2"/>
    <s v="Current Employees"/>
    <x v="0"/>
    <x v="2"/>
    <x v="227"/>
    <x v="227"/>
    <x v="0"/>
    <x v="0"/>
    <x v="1"/>
    <s v="No"/>
    <s v="Y"/>
    <n v="5"/>
    <n v="-2"/>
    <n v="0"/>
    <n v="29"/>
    <n v="0"/>
    <m/>
    <n v="0"/>
    <n v="1"/>
    <n v="1413"/>
    <n v="1"/>
    <x v="1"/>
    <n v="1"/>
    <n v="2"/>
    <n v="42"/>
    <n v="3"/>
    <n v="3"/>
    <n v="4"/>
    <n v="7918"/>
    <n v="6599"/>
    <n v="1"/>
    <n v="14"/>
    <n v="3"/>
    <n v="4"/>
    <n v="80"/>
    <n v="1"/>
    <n v="11"/>
    <n v="3"/>
    <n v="11"/>
    <n v="10"/>
    <n v="4"/>
    <n v="1"/>
  </r>
  <r>
    <s v="No"/>
    <s v="Travel_Frequently"/>
    <x v="0"/>
    <s v="Current Employees"/>
    <x v="0"/>
    <x v="3"/>
    <x v="228"/>
    <x v="228"/>
    <x v="0"/>
    <x v="0"/>
    <x v="0"/>
    <s v="No"/>
    <s v="Y"/>
    <n v="3"/>
    <n v="-2"/>
    <n v="0"/>
    <n v="35"/>
    <n v="0"/>
    <m/>
    <n v="0"/>
    <n v="1"/>
    <n v="944"/>
    <n v="1"/>
    <x v="3"/>
    <n v="1"/>
    <n v="3"/>
    <n v="92"/>
    <n v="3"/>
    <n v="3"/>
    <n v="1"/>
    <n v="8789"/>
    <n v="9096"/>
    <n v="1"/>
    <n v="14"/>
    <n v="3"/>
    <n v="1"/>
    <n v="80"/>
    <n v="0"/>
    <n v="10"/>
    <n v="4"/>
    <n v="10"/>
    <n v="7"/>
    <n v="0"/>
    <n v="8"/>
  </r>
  <r>
    <s v="Yes"/>
    <s v="Travel_Rarely"/>
    <x v="2"/>
    <s v="Ex-Employees"/>
    <x v="1"/>
    <x v="2"/>
    <x v="229"/>
    <x v="229"/>
    <x v="1"/>
    <x v="1"/>
    <x v="0"/>
    <s v="Yes"/>
    <s v="Y"/>
    <n v="3"/>
    <n v="-2"/>
    <n v="0"/>
    <n v="29"/>
    <n v="1"/>
    <n v="1"/>
    <n v="1"/>
    <n v="0"/>
    <n v="896"/>
    <n v="18"/>
    <x v="1"/>
    <n v="1"/>
    <n v="3"/>
    <n v="86"/>
    <n v="2"/>
    <n v="1"/>
    <n v="4"/>
    <n v="2389"/>
    <n v="14961"/>
    <n v="1"/>
    <n v="13"/>
    <n v="3"/>
    <n v="3"/>
    <n v="80"/>
    <n v="0"/>
    <n v="4"/>
    <n v="2"/>
    <n v="4"/>
    <n v="3"/>
    <n v="0"/>
    <n v="1"/>
  </r>
  <r>
    <s v="No"/>
    <s v="Travel_Rarely"/>
    <x v="1"/>
    <s v="Current Employees"/>
    <x v="1"/>
    <x v="0"/>
    <x v="230"/>
    <x v="230"/>
    <x v="0"/>
    <x v="2"/>
    <x v="0"/>
    <s v="No"/>
    <s v="Y"/>
    <n v="3"/>
    <n v="-2"/>
    <n v="0"/>
    <n v="52"/>
    <n v="0"/>
    <m/>
    <n v="0"/>
    <n v="1"/>
    <n v="1323"/>
    <n v="2"/>
    <x v="3"/>
    <n v="1"/>
    <n v="3"/>
    <n v="89"/>
    <n v="2"/>
    <n v="1"/>
    <n v="2"/>
    <n v="3212"/>
    <n v="3300"/>
    <n v="7"/>
    <n v="15"/>
    <n v="3"/>
    <n v="2"/>
    <n v="80"/>
    <n v="0"/>
    <n v="6"/>
    <n v="2"/>
    <n v="2"/>
    <n v="2"/>
    <n v="2"/>
    <n v="2"/>
  </r>
  <r>
    <s v="No"/>
    <s v="Travel_Rarely"/>
    <x v="0"/>
    <s v="Current Employees"/>
    <x v="1"/>
    <x v="4"/>
    <x v="231"/>
    <x v="231"/>
    <x v="1"/>
    <x v="5"/>
    <x v="1"/>
    <s v="No"/>
    <s v="Y"/>
    <n v="3"/>
    <n v="-2"/>
    <n v="0"/>
    <n v="42"/>
    <n v="0"/>
    <m/>
    <n v="0"/>
    <n v="1"/>
    <n v="532"/>
    <n v="4"/>
    <x v="0"/>
    <n v="1"/>
    <n v="3"/>
    <n v="58"/>
    <n v="3"/>
    <n v="5"/>
    <n v="4"/>
    <n v="19232"/>
    <n v="4933"/>
    <n v="1"/>
    <n v="11"/>
    <n v="3"/>
    <n v="4"/>
    <n v="80"/>
    <n v="0"/>
    <n v="22"/>
    <n v="3"/>
    <n v="22"/>
    <n v="17"/>
    <n v="11"/>
    <n v="15"/>
  </r>
  <r>
    <s v="No"/>
    <s v="Travel_Rarely"/>
    <x v="3"/>
    <s v="Current Employees"/>
    <x v="2"/>
    <x v="2"/>
    <x v="232"/>
    <x v="232"/>
    <x v="1"/>
    <x v="8"/>
    <x v="1"/>
    <s v="No"/>
    <s v="Y"/>
    <n v="2"/>
    <n v="-2"/>
    <n v="0"/>
    <n v="59"/>
    <n v="0"/>
    <m/>
    <n v="0"/>
    <n v="1"/>
    <n v="818"/>
    <n v="6"/>
    <x v="0"/>
    <n v="1"/>
    <n v="2"/>
    <n v="52"/>
    <n v="3"/>
    <n v="1"/>
    <n v="3"/>
    <n v="2267"/>
    <n v="25657"/>
    <n v="8"/>
    <n v="17"/>
    <n v="3"/>
    <n v="4"/>
    <n v="80"/>
    <n v="0"/>
    <n v="7"/>
    <n v="2"/>
    <n v="2"/>
    <n v="2"/>
    <n v="2"/>
    <n v="2"/>
  </r>
  <r>
    <s v="No"/>
    <s v="Travel_Rarely"/>
    <x v="1"/>
    <s v="Current Employees"/>
    <x v="0"/>
    <x v="2"/>
    <x v="233"/>
    <x v="233"/>
    <x v="0"/>
    <x v="5"/>
    <x v="2"/>
    <s v="No"/>
    <s v="Y"/>
    <n v="3"/>
    <n v="-2"/>
    <n v="0"/>
    <n v="50"/>
    <n v="0"/>
    <m/>
    <n v="0"/>
    <n v="1"/>
    <n v="854"/>
    <n v="1"/>
    <x v="2"/>
    <n v="1"/>
    <n v="4"/>
    <n v="68"/>
    <n v="3"/>
    <n v="5"/>
    <n v="4"/>
    <n v="19517"/>
    <n v="24118"/>
    <n v="3"/>
    <n v="11"/>
    <n v="3"/>
    <n v="3"/>
    <n v="80"/>
    <n v="1"/>
    <n v="32"/>
    <n v="2"/>
    <n v="7"/>
    <n v="0"/>
    <n v="0"/>
    <n v="6"/>
  </r>
  <r>
    <s v="Yes"/>
    <s v="Travel_Rarely"/>
    <x v="2"/>
    <s v="Ex-Employees"/>
    <x v="1"/>
    <x v="2"/>
    <x v="234"/>
    <x v="234"/>
    <x v="1"/>
    <x v="2"/>
    <x v="1"/>
    <s v="Yes"/>
    <s v="Y"/>
    <n v="2"/>
    <n v="-2"/>
    <n v="0"/>
    <n v="33"/>
    <n v="1"/>
    <n v="1"/>
    <n v="1"/>
    <n v="0"/>
    <n v="813"/>
    <n v="14"/>
    <x v="3"/>
    <n v="1"/>
    <n v="3"/>
    <n v="58"/>
    <n v="3"/>
    <n v="1"/>
    <n v="4"/>
    <n v="2436"/>
    <n v="22149"/>
    <n v="5"/>
    <n v="13"/>
    <n v="3"/>
    <n v="3"/>
    <n v="80"/>
    <n v="1"/>
    <n v="8"/>
    <n v="1"/>
    <n v="5"/>
    <n v="4"/>
    <n v="0"/>
    <n v="4"/>
  </r>
  <r>
    <s v="No"/>
    <s v="Travel_Rarely"/>
    <x v="0"/>
    <s v="Current Employees"/>
    <x v="0"/>
    <x v="3"/>
    <x v="235"/>
    <x v="235"/>
    <x v="0"/>
    <x v="5"/>
    <x v="1"/>
    <s v="Yes"/>
    <s v="Y"/>
    <n v="3"/>
    <n v="-2"/>
    <n v="0"/>
    <n v="43"/>
    <n v="0"/>
    <m/>
    <n v="0"/>
    <n v="1"/>
    <n v="1034"/>
    <n v="16"/>
    <x v="3"/>
    <n v="1"/>
    <n v="4"/>
    <n v="80"/>
    <n v="3"/>
    <n v="4"/>
    <n v="1"/>
    <n v="16064"/>
    <n v="7744"/>
    <n v="5"/>
    <n v="22"/>
    <n v="4"/>
    <n v="3"/>
    <n v="80"/>
    <n v="1"/>
    <n v="22"/>
    <n v="3"/>
    <n v="17"/>
    <n v="13"/>
    <n v="1"/>
    <n v="9"/>
  </r>
  <r>
    <s v="Yes"/>
    <s v="Travel_Rarely"/>
    <x v="2"/>
    <s v="Ex-Employees"/>
    <x v="1"/>
    <x v="0"/>
    <x v="236"/>
    <x v="236"/>
    <x v="0"/>
    <x v="2"/>
    <x v="1"/>
    <s v="No"/>
    <s v="Y"/>
    <n v="3"/>
    <n v="-2"/>
    <n v="0"/>
    <n v="33"/>
    <n v="1"/>
    <n v="1"/>
    <n v="1"/>
    <n v="0"/>
    <n v="465"/>
    <n v="2"/>
    <x v="0"/>
    <n v="1"/>
    <n v="1"/>
    <n v="39"/>
    <n v="3"/>
    <n v="1"/>
    <n v="2"/>
    <n v="2707"/>
    <n v="21509"/>
    <n v="7"/>
    <n v="20"/>
    <n v="4"/>
    <n v="1"/>
    <n v="80"/>
    <n v="0"/>
    <n v="13"/>
    <n v="4"/>
    <n v="9"/>
    <n v="7"/>
    <n v="1"/>
    <n v="7"/>
  </r>
  <r>
    <s v="No"/>
    <s v="Non-Travel"/>
    <x v="1"/>
    <s v="Current Employees"/>
    <x v="0"/>
    <x v="0"/>
    <x v="237"/>
    <x v="237"/>
    <x v="1"/>
    <x v="5"/>
    <x v="0"/>
    <s v="Yes"/>
    <s v="Y"/>
    <n v="2"/>
    <n v="-2"/>
    <n v="0"/>
    <n v="52"/>
    <n v="0"/>
    <m/>
    <n v="0"/>
    <n v="1"/>
    <n v="771"/>
    <n v="2"/>
    <x v="2"/>
    <n v="1"/>
    <n v="1"/>
    <n v="79"/>
    <n v="2"/>
    <n v="5"/>
    <n v="2"/>
    <n v="19068"/>
    <n v="21030"/>
    <n v="1"/>
    <n v="18"/>
    <n v="3"/>
    <n v="4"/>
    <n v="80"/>
    <n v="0"/>
    <n v="33"/>
    <n v="4"/>
    <n v="33"/>
    <n v="7"/>
    <n v="15"/>
    <n v="12"/>
  </r>
  <r>
    <s v="No"/>
    <s v="Travel_Rarely"/>
    <x v="2"/>
    <s v="Current Employees"/>
    <x v="0"/>
    <x v="0"/>
    <x v="238"/>
    <x v="238"/>
    <x v="0"/>
    <x v="6"/>
    <x v="1"/>
    <s v="No"/>
    <s v="Y"/>
    <n v="5"/>
    <n v="-2"/>
    <n v="0"/>
    <n v="32"/>
    <n v="0"/>
    <m/>
    <n v="0"/>
    <n v="1"/>
    <n v="1401"/>
    <n v="4"/>
    <x v="0"/>
    <n v="1"/>
    <n v="3"/>
    <n v="56"/>
    <n v="3"/>
    <n v="1"/>
    <n v="2"/>
    <n v="3931"/>
    <n v="20990"/>
    <n v="2"/>
    <n v="11"/>
    <n v="3"/>
    <n v="1"/>
    <n v="80"/>
    <n v="1"/>
    <n v="6"/>
    <n v="3"/>
    <n v="4"/>
    <n v="3"/>
    <n v="1"/>
    <n v="2"/>
  </r>
  <r>
    <s v="Yes"/>
    <s v="Travel_Rarely"/>
    <x v="2"/>
    <s v="Ex-Employees"/>
    <x v="1"/>
    <x v="0"/>
    <x v="239"/>
    <x v="239"/>
    <x v="1"/>
    <x v="2"/>
    <x v="0"/>
    <s v="Yes"/>
    <s v="Y"/>
    <n v="2"/>
    <n v="-2"/>
    <n v="0"/>
    <n v="32"/>
    <n v="1"/>
    <n v="1"/>
    <n v="1"/>
    <n v="0"/>
    <n v="515"/>
    <n v="1"/>
    <x v="3"/>
    <n v="1"/>
    <n v="4"/>
    <n v="62"/>
    <n v="2"/>
    <n v="1"/>
    <n v="2"/>
    <n v="3730"/>
    <n v="9571"/>
    <n v="0"/>
    <n v="14"/>
    <n v="3"/>
    <n v="4"/>
    <n v="80"/>
    <n v="0"/>
    <n v="4"/>
    <n v="1"/>
    <n v="3"/>
    <n v="2"/>
    <n v="1"/>
    <n v="2"/>
  </r>
  <r>
    <s v="No"/>
    <s v="Travel_Rarely"/>
    <x v="0"/>
    <s v="Current Employees"/>
    <x v="1"/>
    <x v="2"/>
    <x v="240"/>
    <x v="240"/>
    <x v="0"/>
    <x v="2"/>
    <x v="2"/>
    <s v="No"/>
    <s v="Y"/>
    <n v="1"/>
    <n v="-2"/>
    <n v="0"/>
    <n v="39"/>
    <n v="0"/>
    <m/>
    <n v="0"/>
    <n v="1"/>
    <n v="1431"/>
    <n v="1"/>
    <x v="2"/>
    <n v="1"/>
    <n v="3"/>
    <n v="96"/>
    <n v="3"/>
    <n v="1"/>
    <n v="3"/>
    <n v="2232"/>
    <n v="15417"/>
    <n v="7"/>
    <n v="14"/>
    <n v="3"/>
    <n v="3"/>
    <n v="80"/>
    <n v="3"/>
    <n v="7"/>
    <n v="3"/>
    <n v="3"/>
    <n v="2"/>
    <n v="1"/>
    <n v="2"/>
  </r>
  <r>
    <s v="No"/>
    <s v="Non-Travel"/>
    <x v="2"/>
    <s v="Current Employees"/>
    <x v="0"/>
    <x v="3"/>
    <x v="241"/>
    <x v="241"/>
    <x v="1"/>
    <x v="0"/>
    <x v="1"/>
    <s v="No"/>
    <s v="Y"/>
    <n v="2"/>
    <n v="-2"/>
    <n v="0"/>
    <n v="32"/>
    <n v="0"/>
    <m/>
    <n v="0"/>
    <n v="1"/>
    <n v="976"/>
    <n v="26"/>
    <x v="2"/>
    <n v="1"/>
    <n v="3"/>
    <n v="100"/>
    <n v="3"/>
    <n v="2"/>
    <n v="1"/>
    <n v="4465"/>
    <n v="12069"/>
    <n v="0"/>
    <n v="18"/>
    <n v="3"/>
    <n v="1"/>
    <n v="80"/>
    <n v="0"/>
    <n v="4"/>
    <n v="3"/>
    <n v="3"/>
    <n v="2"/>
    <n v="2"/>
    <n v="2"/>
  </r>
  <r>
    <s v="No"/>
    <s v="Travel_Rarely"/>
    <x v="0"/>
    <s v="Current Employees"/>
    <x v="1"/>
    <x v="0"/>
    <x v="242"/>
    <x v="242"/>
    <x v="1"/>
    <x v="1"/>
    <x v="2"/>
    <s v="No"/>
    <s v="Y"/>
    <n v="2"/>
    <n v="-2"/>
    <n v="0"/>
    <n v="41"/>
    <n v="0"/>
    <m/>
    <n v="0"/>
    <n v="1"/>
    <n v="1411"/>
    <n v="19"/>
    <x v="0"/>
    <n v="1"/>
    <n v="3"/>
    <n v="36"/>
    <n v="3"/>
    <n v="2"/>
    <n v="2"/>
    <n v="3072"/>
    <n v="19877"/>
    <n v="2"/>
    <n v="16"/>
    <n v="3"/>
    <n v="1"/>
    <n v="80"/>
    <n v="2"/>
    <n v="17"/>
    <n v="2"/>
    <n v="1"/>
    <n v="0"/>
    <n v="0"/>
    <n v="0"/>
  </r>
  <r>
    <s v="No"/>
    <s v="Travel_Rarely"/>
    <x v="0"/>
    <s v="Current Employees"/>
    <x v="1"/>
    <x v="4"/>
    <x v="243"/>
    <x v="243"/>
    <x v="1"/>
    <x v="1"/>
    <x v="2"/>
    <s v="No"/>
    <s v="Y"/>
    <n v="3"/>
    <n v="-2"/>
    <n v="0"/>
    <n v="40"/>
    <n v="0"/>
    <m/>
    <n v="0"/>
    <n v="1"/>
    <n v="1300"/>
    <n v="24"/>
    <x v="0"/>
    <n v="1"/>
    <n v="4"/>
    <n v="62"/>
    <n v="3"/>
    <n v="2"/>
    <n v="4"/>
    <n v="3319"/>
    <n v="24447"/>
    <n v="1"/>
    <n v="17"/>
    <n v="3"/>
    <n v="1"/>
    <n v="80"/>
    <n v="2"/>
    <n v="9"/>
    <n v="3"/>
    <n v="9"/>
    <n v="8"/>
    <n v="4"/>
    <n v="7"/>
  </r>
  <r>
    <s v="No"/>
    <s v="Travel_Rarely"/>
    <x v="1"/>
    <s v="Current Employees"/>
    <x v="1"/>
    <x v="1"/>
    <x v="244"/>
    <x v="244"/>
    <x v="1"/>
    <x v="5"/>
    <x v="1"/>
    <s v="No"/>
    <s v="Y"/>
    <n v="2"/>
    <n v="-2"/>
    <n v="0"/>
    <n v="45"/>
    <n v="0"/>
    <m/>
    <n v="0"/>
    <n v="1"/>
    <n v="252"/>
    <n v="1"/>
    <x v="3"/>
    <n v="1"/>
    <n v="3"/>
    <n v="70"/>
    <n v="4"/>
    <n v="5"/>
    <n v="4"/>
    <n v="19202"/>
    <n v="15970"/>
    <n v="0"/>
    <n v="11"/>
    <n v="3"/>
    <n v="3"/>
    <n v="80"/>
    <n v="1"/>
    <n v="25"/>
    <n v="3"/>
    <n v="24"/>
    <n v="0"/>
    <n v="1"/>
    <n v="7"/>
  </r>
  <r>
    <s v="No"/>
    <s v="Travel_Frequently"/>
    <x v="2"/>
    <s v="Current Employees"/>
    <x v="1"/>
    <x v="2"/>
    <x v="245"/>
    <x v="245"/>
    <x v="1"/>
    <x v="7"/>
    <x v="2"/>
    <s v="No"/>
    <s v="Y"/>
    <n v="3"/>
    <n v="-2"/>
    <n v="0"/>
    <n v="31"/>
    <n v="0"/>
    <m/>
    <n v="0"/>
    <n v="1"/>
    <n v="1327"/>
    <n v="3"/>
    <x v="2"/>
    <n v="1"/>
    <n v="2"/>
    <n v="73"/>
    <n v="3"/>
    <n v="3"/>
    <n v="3"/>
    <n v="13675"/>
    <n v="13523"/>
    <n v="9"/>
    <n v="12"/>
    <n v="3"/>
    <n v="1"/>
    <n v="80"/>
    <n v="1"/>
    <n v="9"/>
    <n v="3"/>
    <n v="2"/>
    <n v="2"/>
    <n v="2"/>
    <n v="2"/>
  </r>
  <r>
    <s v="No"/>
    <s v="Travel_Rarely"/>
    <x v="2"/>
    <s v="Current Employees"/>
    <x v="1"/>
    <x v="0"/>
    <x v="246"/>
    <x v="246"/>
    <x v="0"/>
    <x v="1"/>
    <x v="1"/>
    <s v="No"/>
    <s v="Y"/>
    <n v="2"/>
    <n v="-2"/>
    <n v="0"/>
    <n v="33"/>
    <n v="0"/>
    <m/>
    <n v="0"/>
    <n v="1"/>
    <n v="832"/>
    <n v="5"/>
    <x v="2"/>
    <n v="1"/>
    <n v="3"/>
    <n v="63"/>
    <n v="2"/>
    <n v="1"/>
    <n v="2"/>
    <n v="2911"/>
    <n v="14776"/>
    <n v="1"/>
    <n v="13"/>
    <n v="3"/>
    <n v="3"/>
    <n v="80"/>
    <n v="1"/>
    <n v="2"/>
    <n v="2"/>
    <n v="2"/>
    <n v="2"/>
    <n v="0"/>
    <n v="2"/>
  </r>
  <r>
    <s v="No"/>
    <s v="Travel_Rarely"/>
    <x v="2"/>
    <s v="Current Employees"/>
    <x v="1"/>
    <x v="0"/>
    <x v="247"/>
    <x v="247"/>
    <x v="1"/>
    <x v="3"/>
    <x v="1"/>
    <s v="No"/>
    <s v="Y"/>
    <n v="3"/>
    <n v="-2"/>
    <n v="0"/>
    <n v="34"/>
    <n v="0"/>
    <m/>
    <n v="0"/>
    <n v="1"/>
    <n v="470"/>
    <n v="2"/>
    <x v="2"/>
    <n v="1"/>
    <n v="4"/>
    <n v="84"/>
    <n v="2"/>
    <n v="2"/>
    <n v="2"/>
    <n v="5957"/>
    <n v="23687"/>
    <n v="6"/>
    <n v="13"/>
    <n v="3"/>
    <n v="2"/>
    <n v="80"/>
    <n v="1"/>
    <n v="13"/>
    <n v="3"/>
    <n v="11"/>
    <n v="9"/>
    <n v="5"/>
    <n v="9"/>
  </r>
  <r>
    <s v="No"/>
    <s v="Travel_Rarely"/>
    <x v="0"/>
    <s v="Current Employees"/>
    <x v="1"/>
    <x v="2"/>
    <x v="248"/>
    <x v="248"/>
    <x v="0"/>
    <x v="1"/>
    <x v="1"/>
    <s v="No"/>
    <s v="Y"/>
    <n v="2"/>
    <n v="-2"/>
    <n v="0"/>
    <n v="37"/>
    <n v="0"/>
    <m/>
    <n v="0"/>
    <n v="1"/>
    <n v="1017"/>
    <n v="1"/>
    <x v="0"/>
    <n v="1"/>
    <n v="3"/>
    <n v="83"/>
    <n v="2"/>
    <n v="1"/>
    <n v="3"/>
    <n v="3920"/>
    <n v="18697"/>
    <n v="2"/>
    <n v="14"/>
    <n v="3"/>
    <n v="1"/>
    <n v="80"/>
    <n v="1"/>
    <n v="17"/>
    <n v="2"/>
    <n v="3"/>
    <n v="1"/>
    <n v="0"/>
    <n v="2"/>
  </r>
  <r>
    <s v="No"/>
    <s v="Travel_Frequently"/>
    <x v="1"/>
    <s v="Current Employees"/>
    <x v="1"/>
    <x v="0"/>
    <x v="249"/>
    <x v="249"/>
    <x v="1"/>
    <x v="3"/>
    <x v="1"/>
    <s v="No"/>
    <s v="Y"/>
    <n v="1"/>
    <n v="-2"/>
    <n v="0"/>
    <n v="45"/>
    <n v="0"/>
    <m/>
    <n v="0"/>
    <n v="1"/>
    <n v="1199"/>
    <n v="7"/>
    <x v="2"/>
    <n v="1"/>
    <n v="1"/>
    <n v="77"/>
    <n v="4"/>
    <n v="2"/>
    <n v="2"/>
    <n v="6434"/>
    <n v="5118"/>
    <n v="4"/>
    <n v="17"/>
    <n v="3"/>
    <n v="4"/>
    <n v="80"/>
    <n v="1"/>
    <n v="9"/>
    <n v="3"/>
    <n v="3"/>
    <n v="2"/>
    <n v="0"/>
    <n v="2"/>
  </r>
  <r>
    <s v="Yes"/>
    <s v="Travel_Frequently"/>
    <x v="0"/>
    <s v="Ex-Employees"/>
    <x v="1"/>
    <x v="2"/>
    <x v="250"/>
    <x v="250"/>
    <x v="1"/>
    <x v="3"/>
    <x v="2"/>
    <s v="No"/>
    <s v="Y"/>
    <n v="5"/>
    <n v="-2"/>
    <n v="0"/>
    <n v="37"/>
    <n v="1"/>
    <n v="1"/>
    <n v="1"/>
    <n v="0"/>
    <n v="504"/>
    <n v="10"/>
    <x v="3"/>
    <n v="1"/>
    <n v="1"/>
    <n v="61"/>
    <n v="3"/>
    <n v="3"/>
    <n v="3"/>
    <n v="10048"/>
    <n v="22573"/>
    <n v="6"/>
    <n v="11"/>
    <n v="3"/>
    <n v="2"/>
    <n v="80"/>
    <n v="2"/>
    <n v="17"/>
    <n v="3"/>
    <n v="1"/>
    <n v="0"/>
    <n v="0"/>
    <n v="0"/>
  </r>
  <r>
    <s v="No"/>
    <s v="Travel_Frequently"/>
    <x v="0"/>
    <s v="Current Employees"/>
    <x v="1"/>
    <x v="4"/>
    <x v="251"/>
    <x v="251"/>
    <x v="0"/>
    <x v="4"/>
    <x v="0"/>
    <s v="No"/>
    <s v="Y"/>
    <n v="1"/>
    <n v="-2"/>
    <n v="0"/>
    <n v="39"/>
    <n v="0"/>
    <m/>
    <n v="0"/>
    <n v="1"/>
    <n v="505"/>
    <n v="2"/>
    <x v="2"/>
    <n v="1"/>
    <n v="4"/>
    <n v="64"/>
    <n v="3"/>
    <n v="3"/>
    <n v="4"/>
    <n v="10938"/>
    <n v="6420"/>
    <n v="0"/>
    <n v="25"/>
    <n v="4"/>
    <n v="4"/>
    <n v="80"/>
    <n v="0"/>
    <n v="20"/>
    <n v="3"/>
    <n v="19"/>
    <n v="6"/>
    <n v="11"/>
    <n v="8"/>
  </r>
  <r>
    <s v="No"/>
    <s v="Travel_Rarely"/>
    <x v="2"/>
    <s v="Current Employees"/>
    <x v="1"/>
    <x v="0"/>
    <x v="252"/>
    <x v="252"/>
    <x v="1"/>
    <x v="1"/>
    <x v="0"/>
    <s v="No"/>
    <s v="Y"/>
    <n v="1"/>
    <n v="-2"/>
    <n v="0"/>
    <n v="29"/>
    <n v="0"/>
    <m/>
    <n v="0"/>
    <n v="1"/>
    <n v="665"/>
    <n v="15"/>
    <x v="3"/>
    <n v="1"/>
    <n v="3"/>
    <n v="60"/>
    <n v="3"/>
    <n v="1"/>
    <n v="2"/>
    <n v="2340"/>
    <n v="22673"/>
    <n v="1"/>
    <n v="19"/>
    <n v="3"/>
    <n v="1"/>
    <n v="80"/>
    <n v="0"/>
    <n v="6"/>
    <n v="3"/>
    <n v="6"/>
    <n v="5"/>
    <n v="1"/>
    <n v="5"/>
  </r>
  <r>
    <s v="No"/>
    <s v="Travel_Rarely"/>
    <x v="0"/>
    <s v="Current Employees"/>
    <x v="1"/>
    <x v="0"/>
    <x v="253"/>
    <x v="253"/>
    <x v="0"/>
    <x v="1"/>
    <x v="0"/>
    <s v="Yes"/>
    <s v="Y"/>
    <n v="1"/>
    <n v="-2"/>
    <n v="0"/>
    <n v="42"/>
    <n v="0"/>
    <m/>
    <n v="0"/>
    <n v="1"/>
    <n v="916"/>
    <n v="17"/>
    <x v="0"/>
    <n v="1"/>
    <n v="4"/>
    <n v="82"/>
    <n v="4"/>
    <n v="2"/>
    <n v="2"/>
    <n v="6545"/>
    <n v="23016"/>
    <n v="3"/>
    <n v="13"/>
    <n v="3"/>
    <n v="3"/>
    <n v="80"/>
    <n v="0"/>
    <n v="10"/>
    <n v="3"/>
    <n v="3"/>
    <n v="2"/>
    <n v="0"/>
    <n v="2"/>
  </r>
  <r>
    <s v="No"/>
    <s v="Travel_Rarely"/>
    <x v="2"/>
    <s v="Current Employees"/>
    <x v="0"/>
    <x v="3"/>
    <x v="254"/>
    <x v="254"/>
    <x v="1"/>
    <x v="0"/>
    <x v="2"/>
    <s v="No"/>
    <s v="Y"/>
    <n v="2"/>
    <n v="-2"/>
    <n v="0"/>
    <n v="29"/>
    <n v="0"/>
    <m/>
    <n v="0"/>
    <n v="1"/>
    <n v="1247"/>
    <n v="20"/>
    <x v="0"/>
    <n v="1"/>
    <n v="4"/>
    <n v="45"/>
    <n v="3"/>
    <n v="2"/>
    <n v="1"/>
    <n v="6931"/>
    <n v="10732"/>
    <n v="2"/>
    <n v="14"/>
    <n v="3"/>
    <n v="4"/>
    <n v="80"/>
    <n v="1"/>
    <n v="10"/>
    <n v="3"/>
    <n v="3"/>
    <n v="2"/>
    <n v="0"/>
    <n v="2"/>
  </r>
  <r>
    <s v="No"/>
    <s v="Travel_Rarely"/>
    <x v="2"/>
    <s v="Current Employees"/>
    <x v="1"/>
    <x v="0"/>
    <x v="255"/>
    <x v="255"/>
    <x v="0"/>
    <x v="3"/>
    <x v="1"/>
    <s v="No"/>
    <s v="Y"/>
    <n v="3"/>
    <n v="-2"/>
    <n v="0"/>
    <n v="25"/>
    <n v="0"/>
    <m/>
    <n v="0"/>
    <n v="1"/>
    <n v="685"/>
    <n v="1"/>
    <x v="3"/>
    <n v="1"/>
    <n v="1"/>
    <n v="62"/>
    <n v="3"/>
    <n v="2"/>
    <n v="2"/>
    <n v="4898"/>
    <n v="7505"/>
    <n v="0"/>
    <n v="12"/>
    <n v="3"/>
    <n v="4"/>
    <n v="80"/>
    <n v="2"/>
    <n v="5"/>
    <n v="3"/>
    <n v="4"/>
    <n v="2"/>
    <n v="1"/>
    <n v="2"/>
  </r>
  <r>
    <s v="No"/>
    <s v="Travel_Rarely"/>
    <x v="0"/>
    <s v="Current Employees"/>
    <x v="1"/>
    <x v="2"/>
    <x v="256"/>
    <x v="256"/>
    <x v="0"/>
    <x v="2"/>
    <x v="2"/>
    <s v="Yes"/>
    <s v="Y"/>
    <n v="4"/>
    <n v="-2"/>
    <n v="0"/>
    <n v="42"/>
    <n v="0"/>
    <m/>
    <n v="0"/>
    <n v="1"/>
    <n v="269"/>
    <n v="2"/>
    <x v="3"/>
    <n v="1"/>
    <n v="4"/>
    <n v="56"/>
    <n v="2"/>
    <n v="1"/>
    <n v="3"/>
    <n v="2593"/>
    <n v="8007"/>
    <n v="0"/>
    <n v="11"/>
    <n v="3"/>
    <n v="3"/>
    <n v="80"/>
    <n v="1"/>
    <n v="10"/>
    <n v="3"/>
    <n v="9"/>
    <n v="6"/>
    <n v="7"/>
    <n v="8"/>
  </r>
  <r>
    <s v="No"/>
    <s v="Travel_Rarely"/>
    <x v="0"/>
    <s v="Current Employees"/>
    <x v="1"/>
    <x v="2"/>
    <x v="257"/>
    <x v="257"/>
    <x v="1"/>
    <x v="7"/>
    <x v="2"/>
    <s v="No"/>
    <s v="Y"/>
    <n v="5"/>
    <n v="-2"/>
    <n v="0"/>
    <n v="40"/>
    <n v="0"/>
    <m/>
    <n v="0"/>
    <n v="1"/>
    <n v="1416"/>
    <n v="2"/>
    <x v="0"/>
    <n v="1"/>
    <n v="1"/>
    <n v="49"/>
    <n v="3"/>
    <n v="5"/>
    <n v="3"/>
    <n v="19436"/>
    <n v="5949"/>
    <n v="0"/>
    <n v="19"/>
    <n v="3"/>
    <n v="4"/>
    <n v="80"/>
    <n v="1"/>
    <n v="22"/>
    <n v="3"/>
    <n v="21"/>
    <n v="7"/>
    <n v="3"/>
    <n v="9"/>
  </r>
  <r>
    <s v="No"/>
    <s v="Travel_Rarely"/>
    <x v="1"/>
    <s v="Current Employees"/>
    <x v="1"/>
    <x v="0"/>
    <x v="258"/>
    <x v="258"/>
    <x v="1"/>
    <x v="1"/>
    <x v="1"/>
    <s v="No"/>
    <s v="Y"/>
    <n v="0"/>
    <n v="-2"/>
    <n v="0"/>
    <n v="51"/>
    <n v="0"/>
    <m/>
    <n v="0"/>
    <n v="1"/>
    <n v="833"/>
    <n v="1"/>
    <x v="3"/>
    <n v="1"/>
    <n v="3"/>
    <n v="96"/>
    <n v="3"/>
    <n v="1"/>
    <n v="2"/>
    <n v="2723"/>
    <n v="23231"/>
    <n v="1"/>
    <n v="11"/>
    <n v="3"/>
    <n v="2"/>
    <n v="80"/>
    <n v="0"/>
    <n v="1"/>
    <n v="2"/>
    <n v="1"/>
    <n v="0"/>
    <n v="0"/>
    <n v="0"/>
  </r>
  <r>
    <s v="Yes"/>
    <s v="Travel_Frequently"/>
    <x v="2"/>
    <s v="Ex-Employees"/>
    <x v="1"/>
    <x v="2"/>
    <x v="259"/>
    <x v="259"/>
    <x v="1"/>
    <x v="2"/>
    <x v="0"/>
    <s v="No"/>
    <s v="Y"/>
    <n v="2"/>
    <n v="-2"/>
    <n v="0"/>
    <n v="31"/>
    <n v="1"/>
    <n v="1"/>
    <n v="1"/>
    <n v="0"/>
    <n v="307"/>
    <n v="29"/>
    <x v="0"/>
    <n v="1"/>
    <n v="3"/>
    <n v="71"/>
    <n v="2"/>
    <n v="1"/>
    <n v="3"/>
    <n v="3479"/>
    <n v="11652"/>
    <n v="0"/>
    <n v="11"/>
    <n v="3"/>
    <n v="2"/>
    <n v="80"/>
    <n v="0"/>
    <n v="6"/>
    <n v="4"/>
    <n v="5"/>
    <n v="4"/>
    <n v="1"/>
    <n v="4"/>
  </r>
  <r>
    <s v="No"/>
    <s v="Travel_Frequently"/>
    <x v="2"/>
    <s v="Current Employees"/>
    <x v="1"/>
    <x v="0"/>
    <x v="260"/>
    <x v="260"/>
    <x v="1"/>
    <x v="2"/>
    <x v="1"/>
    <s v="No"/>
    <s v="Y"/>
    <n v="3"/>
    <n v="-2"/>
    <n v="0"/>
    <n v="32"/>
    <n v="0"/>
    <m/>
    <n v="0"/>
    <n v="1"/>
    <n v="1311"/>
    <n v="7"/>
    <x v="3"/>
    <n v="1"/>
    <n v="2"/>
    <n v="100"/>
    <n v="4"/>
    <n v="1"/>
    <n v="2"/>
    <n v="2794"/>
    <n v="26062"/>
    <n v="1"/>
    <n v="20"/>
    <n v="4"/>
    <n v="3"/>
    <n v="80"/>
    <n v="0"/>
    <n v="5"/>
    <n v="1"/>
    <n v="5"/>
    <n v="1"/>
    <n v="0"/>
    <n v="3"/>
  </r>
  <r>
    <s v="No"/>
    <s v="Non-Travel"/>
    <x v="0"/>
    <s v="Current Employees"/>
    <x v="0"/>
    <x v="0"/>
    <x v="261"/>
    <x v="261"/>
    <x v="1"/>
    <x v="0"/>
    <x v="1"/>
    <s v="No"/>
    <s v="Y"/>
    <n v="0"/>
    <n v="-2"/>
    <n v="0"/>
    <n v="38"/>
    <n v="0"/>
    <m/>
    <n v="0"/>
    <n v="1"/>
    <n v="1327"/>
    <n v="2"/>
    <x v="0"/>
    <n v="1"/>
    <n v="4"/>
    <n v="39"/>
    <n v="2"/>
    <n v="2"/>
    <n v="2"/>
    <n v="5249"/>
    <n v="19682"/>
    <n v="3"/>
    <n v="18"/>
    <n v="3"/>
    <n v="4"/>
    <n v="80"/>
    <n v="1"/>
    <n v="13"/>
    <n v="3"/>
    <n v="8"/>
    <n v="7"/>
    <n v="7"/>
    <n v="5"/>
  </r>
  <r>
    <s v="No"/>
    <s v="Travel_Rarely"/>
    <x v="2"/>
    <s v="Current Employees"/>
    <x v="1"/>
    <x v="4"/>
    <x v="262"/>
    <x v="262"/>
    <x v="1"/>
    <x v="2"/>
    <x v="0"/>
    <s v="No"/>
    <s v="Y"/>
    <n v="5"/>
    <n v="-2"/>
    <n v="0"/>
    <n v="32"/>
    <n v="0"/>
    <m/>
    <n v="0"/>
    <n v="1"/>
    <n v="128"/>
    <n v="2"/>
    <x v="1"/>
    <n v="1"/>
    <n v="4"/>
    <n v="84"/>
    <n v="2"/>
    <n v="2"/>
    <n v="4"/>
    <n v="2176"/>
    <n v="19737"/>
    <n v="4"/>
    <n v="13"/>
    <n v="3"/>
    <n v="4"/>
    <n v="80"/>
    <n v="0"/>
    <n v="9"/>
    <n v="3"/>
    <n v="6"/>
    <n v="2"/>
    <n v="0"/>
    <n v="4"/>
  </r>
  <r>
    <s v="No"/>
    <s v="Travel_Rarely"/>
    <x v="1"/>
    <s v="Current Employees"/>
    <x v="0"/>
    <x v="4"/>
    <x v="263"/>
    <x v="263"/>
    <x v="0"/>
    <x v="5"/>
    <x v="1"/>
    <s v="Yes"/>
    <s v="Y"/>
    <n v="2"/>
    <n v="-2"/>
    <n v="0"/>
    <n v="46"/>
    <n v="0"/>
    <m/>
    <n v="0"/>
    <n v="1"/>
    <n v="488"/>
    <n v="2"/>
    <x v="3"/>
    <n v="1"/>
    <n v="4"/>
    <n v="75"/>
    <n v="1"/>
    <n v="4"/>
    <n v="4"/>
    <n v="16872"/>
    <n v="14977"/>
    <n v="3"/>
    <n v="12"/>
    <n v="3"/>
    <n v="2"/>
    <n v="80"/>
    <n v="1"/>
    <n v="28"/>
    <n v="2"/>
    <n v="7"/>
    <n v="7"/>
    <n v="7"/>
    <n v="7"/>
  </r>
  <r>
    <s v="Yes"/>
    <s v="Travel_Rarely"/>
    <x v="2"/>
    <s v="Ex-Employees"/>
    <x v="1"/>
    <x v="0"/>
    <x v="264"/>
    <x v="264"/>
    <x v="1"/>
    <x v="2"/>
    <x v="0"/>
    <s v="No"/>
    <s v="Y"/>
    <n v="5"/>
    <n v="-2"/>
    <n v="0"/>
    <n v="28"/>
    <n v="1"/>
    <n v="1"/>
    <n v="1"/>
    <n v="0"/>
    <n v="529"/>
    <n v="2"/>
    <x v="2"/>
    <n v="1"/>
    <n v="1"/>
    <n v="79"/>
    <n v="3"/>
    <n v="1"/>
    <n v="2"/>
    <n v="3485"/>
    <n v="14935"/>
    <n v="2"/>
    <n v="11"/>
    <n v="3"/>
    <n v="3"/>
    <n v="80"/>
    <n v="0"/>
    <n v="5"/>
    <n v="1"/>
    <n v="0"/>
    <n v="0"/>
    <n v="0"/>
    <n v="0"/>
  </r>
  <r>
    <s v="No"/>
    <s v="Travel_Rarely"/>
    <x v="2"/>
    <s v="Current Employees"/>
    <x v="0"/>
    <x v="2"/>
    <x v="265"/>
    <x v="265"/>
    <x v="1"/>
    <x v="0"/>
    <x v="1"/>
    <s v="No"/>
    <s v="Y"/>
    <n v="2"/>
    <n v="-2"/>
    <n v="0"/>
    <n v="29"/>
    <n v="0"/>
    <m/>
    <n v="0"/>
    <n v="1"/>
    <n v="1210"/>
    <n v="2"/>
    <x v="3"/>
    <n v="1"/>
    <n v="1"/>
    <n v="78"/>
    <n v="2"/>
    <n v="2"/>
    <n v="3"/>
    <n v="6644"/>
    <n v="3687"/>
    <n v="2"/>
    <n v="19"/>
    <n v="3"/>
    <n v="2"/>
    <n v="80"/>
    <n v="2"/>
    <n v="10"/>
    <n v="3"/>
    <n v="0"/>
    <n v="0"/>
    <n v="0"/>
    <n v="0"/>
  </r>
  <r>
    <s v="No"/>
    <s v="Travel_Rarely"/>
    <x v="2"/>
    <s v="Current Employees"/>
    <x v="1"/>
    <x v="2"/>
    <x v="266"/>
    <x v="266"/>
    <x v="1"/>
    <x v="4"/>
    <x v="1"/>
    <s v="No"/>
    <s v="Y"/>
    <n v="2"/>
    <n v="-2"/>
    <n v="0"/>
    <n v="31"/>
    <n v="0"/>
    <m/>
    <n v="0"/>
    <n v="1"/>
    <n v="1463"/>
    <n v="23"/>
    <x v="3"/>
    <n v="1"/>
    <n v="2"/>
    <n v="64"/>
    <n v="2"/>
    <n v="2"/>
    <n v="4"/>
    <n v="5582"/>
    <n v="14408"/>
    <n v="0"/>
    <n v="21"/>
    <n v="4"/>
    <n v="2"/>
    <n v="80"/>
    <n v="1"/>
    <n v="10"/>
    <n v="3"/>
    <n v="9"/>
    <n v="0"/>
    <n v="7"/>
    <n v="8"/>
  </r>
  <r>
    <s v="No"/>
    <s v="Non-Travel"/>
    <x v="2"/>
    <s v="Current Employees"/>
    <x v="1"/>
    <x v="0"/>
    <x v="267"/>
    <x v="267"/>
    <x v="1"/>
    <x v="4"/>
    <x v="2"/>
    <s v="No"/>
    <s v="Y"/>
    <n v="2"/>
    <n v="-2"/>
    <n v="0"/>
    <n v="25"/>
    <n v="0"/>
    <m/>
    <n v="0"/>
    <n v="1"/>
    <n v="675"/>
    <n v="5"/>
    <x v="0"/>
    <n v="1"/>
    <n v="2"/>
    <n v="85"/>
    <n v="4"/>
    <n v="2"/>
    <n v="2"/>
    <n v="4000"/>
    <n v="18384"/>
    <n v="1"/>
    <n v="12"/>
    <n v="3"/>
    <n v="4"/>
    <n v="80"/>
    <n v="2"/>
    <n v="6"/>
    <n v="3"/>
    <n v="6"/>
    <n v="3"/>
    <n v="1"/>
    <n v="5"/>
  </r>
  <r>
    <s v="No"/>
    <s v="Travel_Rarely"/>
    <x v="1"/>
    <s v="Current Employees"/>
    <x v="1"/>
    <x v="2"/>
    <x v="268"/>
    <x v="268"/>
    <x v="1"/>
    <x v="4"/>
    <x v="1"/>
    <s v="Yes"/>
    <s v="Y"/>
    <n v="2"/>
    <n v="-2"/>
    <n v="0"/>
    <n v="45"/>
    <n v="0"/>
    <m/>
    <n v="0"/>
    <n v="1"/>
    <n v="1385"/>
    <n v="20"/>
    <x v="0"/>
    <n v="1"/>
    <n v="3"/>
    <n v="79"/>
    <n v="3"/>
    <n v="4"/>
    <n v="4"/>
    <n v="13496"/>
    <n v="7501"/>
    <n v="0"/>
    <n v="14"/>
    <n v="3"/>
    <n v="2"/>
    <n v="80"/>
    <n v="0"/>
    <n v="21"/>
    <n v="3"/>
    <n v="20"/>
    <n v="7"/>
    <n v="4"/>
    <n v="10"/>
  </r>
  <r>
    <s v="No"/>
    <s v="Travel_Rarely"/>
    <x v="0"/>
    <s v="Current Employees"/>
    <x v="1"/>
    <x v="0"/>
    <x v="269"/>
    <x v="269"/>
    <x v="1"/>
    <x v="2"/>
    <x v="1"/>
    <s v="No"/>
    <s v="Y"/>
    <n v="4"/>
    <n v="-2"/>
    <n v="0"/>
    <n v="36"/>
    <n v="0"/>
    <m/>
    <n v="0"/>
    <n v="1"/>
    <n v="1403"/>
    <n v="6"/>
    <x v="3"/>
    <n v="1"/>
    <n v="4"/>
    <n v="47"/>
    <n v="3"/>
    <n v="1"/>
    <n v="2"/>
    <n v="3210"/>
    <n v="20251"/>
    <n v="0"/>
    <n v="11"/>
    <n v="3"/>
    <n v="3"/>
    <n v="80"/>
    <n v="1"/>
    <n v="16"/>
    <n v="3"/>
    <n v="15"/>
    <n v="13"/>
    <n v="10"/>
    <n v="11"/>
  </r>
  <r>
    <s v="No"/>
    <s v="Travel_Rarely"/>
    <x v="3"/>
    <s v="Current Employees"/>
    <x v="1"/>
    <x v="2"/>
    <x v="270"/>
    <x v="270"/>
    <x v="1"/>
    <x v="5"/>
    <x v="0"/>
    <s v="Yes"/>
    <s v="Y"/>
    <n v="2"/>
    <n v="-2"/>
    <n v="0"/>
    <n v="55"/>
    <n v="0"/>
    <m/>
    <n v="0"/>
    <n v="1"/>
    <n v="452"/>
    <n v="1"/>
    <x v="3"/>
    <n v="1"/>
    <n v="4"/>
    <n v="81"/>
    <n v="3"/>
    <n v="5"/>
    <n v="3"/>
    <n v="19045"/>
    <n v="18938"/>
    <n v="0"/>
    <n v="14"/>
    <n v="3"/>
    <n v="3"/>
    <n v="80"/>
    <n v="0"/>
    <n v="37"/>
    <n v="3"/>
    <n v="36"/>
    <n v="10"/>
    <n v="4"/>
    <n v="13"/>
  </r>
  <r>
    <s v="Yes"/>
    <s v="Non-Travel"/>
    <x v="1"/>
    <s v="Ex-Employees"/>
    <x v="1"/>
    <x v="0"/>
    <x v="271"/>
    <x v="271"/>
    <x v="1"/>
    <x v="5"/>
    <x v="1"/>
    <s v="Yes"/>
    <s v="Y"/>
    <n v="2"/>
    <n v="-2"/>
    <n v="0"/>
    <n v="47"/>
    <n v="1"/>
    <n v="1"/>
    <n v="1"/>
    <n v="0"/>
    <n v="666"/>
    <n v="29"/>
    <x v="2"/>
    <n v="1"/>
    <n v="1"/>
    <n v="88"/>
    <n v="3"/>
    <n v="3"/>
    <n v="2"/>
    <n v="11849"/>
    <n v="10268"/>
    <n v="1"/>
    <n v="12"/>
    <n v="3"/>
    <n v="4"/>
    <n v="80"/>
    <n v="1"/>
    <n v="10"/>
    <n v="2"/>
    <n v="10"/>
    <n v="7"/>
    <n v="9"/>
    <n v="9"/>
  </r>
  <r>
    <s v="No"/>
    <s v="Travel_Rarely"/>
    <x v="2"/>
    <s v="Current Employees"/>
    <x v="1"/>
    <x v="2"/>
    <x v="272"/>
    <x v="272"/>
    <x v="1"/>
    <x v="1"/>
    <x v="1"/>
    <s v="No"/>
    <s v="Y"/>
    <n v="3"/>
    <n v="-2"/>
    <n v="0"/>
    <n v="28"/>
    <n v="0"/>
    <m/>
    <n v="0"/>
    <n v="1"/>
    <n v="1158"/>
    <n v="9"/>
    <x v="3"/>
    <n v="1"/>
    <n v="4"/>
    <n v="94"/>
    <n v="3"/>
    <n v="1"/>
    <n v="4"/>
    <n v="2070"/>
    <n v="2613"/>
    <n v="1"/>
    <n v="23"/>
    <n v="4"/>
    <n v="4"/>
    <n v="80"/>
    <n v="1"/>
    <n v="5"/>
    <n v="2"/>
    <n v="5"/>
    <n v="2"/>
    <n v="0"/>
    <n v="4"/>
  </r>
  <r>
    <s v="No"/>
    <s v="Travel_Rarely"/>
    <x v="0"/>
    <s v="Current Employees"/>
    <x v="0"/>
    <x v="2"/>
    <x v="273"/>
    <x v="273"/>
    <x v="1"/>
    <x v="0"/>
    <x v="1"/>
    <s v="No"/>
    <s v="Y"/>
    <n v="5"/>
    <n v="-2"/>
    <n v="0"/>
    <n v="37"/>
    <n v="0"/>
    <m/>
    <n v="0"/>
    <n v="1"/>
    <n v="228"/>
    <n v="6"/>
    <x v="2"/>
    <n v="1"/>
    <n v="3"/>
    <n v="98"/>
    <n v="3"/>
    <n v="2"/>
    <n v="4"/>
    <n v="6502"/>
    <n v="22825"/>
    <n v="4"/>
    <n v="14"/>
    <n v="3"/>
    <n v="2"/>
    <n v="80"/>
    <n v="1"/>
    <n v="7"/>
    <n v="4"/>
    <n v="5"/>
    <n v="4"/>
    <n v="0"/>
    <n v="1"/>
  </r>
  <r>
    <s v="No"/>
    <s v="Travel_Rarely"/>
    <x v="4"/>
    <s v="Current Employees"/>
    <x v="1"/>
    <x v="2"/>
    <x v="274"/>
    <x v="274"/>
    <x v="1"/>
    <x v="1"/>
    <x v="0"/>
    <s v="No"/>
    <s v="Y"/>
    <n v="4"/>
    <n v="-2"/>
    <n v="0"/>
    <n v="21"/>
    <n v="0"/>
    <m/>
    <n v="0"/>
    <n v="1"/>
    <n v="996"/>
    <n v="3"/>
    <x v="0"/>
    <n v="1"/>
    <n v="4"/>
    <n v="100"/>
    <n v="2"/>
    <n v="1"/>
    <n v="3"/>
    <n v="3230"/>
    <n v="10531"/>
    <n v="1"/>
    <n v="17"/>
    <n v="3"/>
    <n v="1"/>
    <n v="80"/>
    <n v="0"/>
    <n v="3"/>
    <n v="4"/>
    <n v="3"/>
    <n v="2"/>
    <n v="1"/>
    <n v="0"/>
  </r>
  <r>
    <s v="No"/>
    <s v="Non-Travel"/>
    <x v="0"/>
    <s v="Current Employees"/>
    <x v="1"/>
    <x v="2"/>
    <x v="275"/>
    <x v="275"/>
    <x v="0"/>
    <x v="7"/>
    <x v="2"/>
    <s v="Yes"/>
    <s v="Y"/>
    <n v="2"/>
    <n v="-2"/>
    <n v="0"/>
    <n v="37"/>
    <n v="0"/>
    <m/>
    <n v="0"/>
    <n v="1"/>
    <n v="728"/>
    <n v="1"/>
    <x v="2"/>
    <n v="1"/>
    <n v="1"/>
    <n v="80"/>
    <n v="3"/>
    <n v="3"/>
    <n v="4"/>
    <n v="13603"/>
    <n v="11677"/>
    <n v="2"/>
    <n v="18"/>
    <n v="3"/>
    <n v="1"/>
    <n v="80"/>
    <n v="2"/>
    <n v="15"/>
    <n v="3"/>
    <n v="5"/>
    <n v="2"/>
    <n v="0"/>
    <n v="2"/>
  </r>
  <r>
    <s v="No"/>
    <s v="Travel_Rarely"/>
    <x v="0"/>
    <s v="Current Employees"/>
    <x v="1"/>
    <x v="0"/>
    <x v="276"/>
    <x v="276"/>
    <x v="0"/>
    <x v="5"/>
    <x v="2"/>
    <s v="No"/>
    <s v="Y"/>
    <n v="6"/>
    <n v="-2"/>
    <n v="0"/>
    <n v="35"/>
    <n v="0"/>
    <m/>
    <n v="0"/>
    <n v="1"/>
    <n v="1315"/>
    <n v="22"/>
    <x v="3"/>
    <n v="1"/>
    <n v="2"/>
    <n v="71"/>
    <n v="4"/>
    <n v="3"/>
    <n v="2"/>
    <n v="11996"/>
    <n v="19100"/>
    <n v="7"/>
    <n v="18"/>
    <n v="3"/>
    <n v="2"/>
    <n v="80"/>
    <n v="1"/>
    <n v="10"/>
    <n v="2"/>
    <n v="7"/>
    <n v="7"/>
    <n v="6"/>
    <n v="2"/>
  </r>
  <r>
    <s v="No"/>
    <s v="Travel_Rarely"/>
    <x v="0"/>
    <s v="Current Employees"/>
    <x v="0"/>
    <x v="2"/>
    <x v="277"/>
    <x v="277"/>
    <x v="0"/>
    <x v="0"/>
    <x v="2"/>
    <s v="Yes"/>
    <s v="Y"/>
    <n v="3"/>
    <n v="-2"/>
    <n v="0"/>
    <n v="38"/>
    <n v="0"/>
    <m/>
    <n v="0"/>
    <n v="1"/>
    <n v="322"/>
    <n v="7"/>
    <x v="0"/>
    <n v="1"/>
    <n v="1"/>
    <n v="44"/>
    <n v="4"/>
    <n v="2"/>
    <n v="3"/>
    <n v="5605"/>
    <n v="19191"/>
    <n v="1"/>
    <n v="24"/>
    <n v="4"/>
    <n v="3"/>
    <n v="80"/>
    <n v="1"/>
    <n v="8"/>
    <n v="3"/>
    <n v="8"/>
    <n v="0"/>
    <n v="7"/>
    <n v="7"/>
  </r>
  <r>
    <s v="No"/>
    <s v="Travel_Frequently"/>
    <x v="2"/>
    <s v="Current Employees"/>
    <x v="1"/>
    <x v="0"/>
    <x v="278"/>
    <x v="278"/>
    <x v="0"/>
    <x v="3"/>
    <x v="2"/>
    <s v="No"/>
    <s v="Y"/>
    <n v="6"/>
    <n v="-2"/>
    <n v="0"/>
    <n v="26"/>
    <n v="0"/>
    <m/>
    <n v="0"/>
    <n v="1"/>
    <n v="1479"/>
    <n v="1"/>
    <x v="3"/>
    <n v="1"/>
    <n v="3"/>
    <n v="84"/>
    <n v="3"/>
    <n v="2"/>
    <n v="2"/>
    <n v="6397"/>
    <n v="26767"/>
    <n v="1"/>
    <n v="20"/>
    <n v="4"/>
    <n v="1"/>
    <n v="80"/>
    <n v="1"/>
    <n v="6"/>
    <n v="1"/>
    <n v="6"/>
    <n v="5"/>
    <n v="1"/>
    <n v="4"/>
  </r>
  <r>
    <s v="No"/>
    <s v="Travel_Rarely"/>
    <x v="1"/>
    <s v="Current Employees"/>
    <x v="1"/>
    <x v="0"/>
    <x v="279"/>
    <x v="279"/>
    <x v="1"/>
    <x v="7"/>
    <x v="2"/>
    <s v="No"/>
    <s v="Y"/>
    <n v="4"/>
    <n v="-2"/>
    <n v="0"/>
    <n v="50"/>
    <n v="0"/>
    <m/>
    <n v="0"/>
    <n v="1"/>
    <n v="797"/>
    <n v="4"/>
    <x v="1"/>
    <n v="1"/>
    <n v="1"/>
    <n v="96"/>
    <n v="3"/>
    <n v="5"/>
    <n v="2"/>
    <n v="19144"/>
    <n v="15815"/>
    <n v="3"/>
    <n v="14"/>
    <n v="3"/>
    <n v="1"/>
    <n v="80"/>
    <n v="2"/>
    <n v="28"/>
    <n v="2"/>
    <n v="10"/>
    <n v="4"/>
    <n v="1"/>
    <n v="6"/>
  </r>
  <r>
    <s v="No"/>
    <s v="Travel_Rarely"/>
    <x v="1"/>
    <s v="Current Employees"/>
    <x v="1"/>
    <x v="2"/>
    <x v="280"/>
    <x v="280"/>
    <x v="1"/>
    <x v="7"/>
    <x v="1"/>
    <s v="Yes"/>
    <s v="Y"/>
    <n v="5"/>
    <n v="-2"/>
    <n v="0"/>
    <n v="53"/>
    <n v="0"/>
    <m/>
    <n v="0"/>
    <n v="1"/>
    <n v="1070"/>
    <n v="3"/>
    <x v="2"/>
    <n v="1"/>
    <n v="3"/>
    <n v="45"/>
    <n v="3"/>
    <n v="4"/>
    <n v="3"/>
    <n v="17584"/>
    <n v="21016"/>
    <n v="3"/>
    <n v="16"/>
    <n v="3"/>
    <n v="4"/>
    <n v="80"/>
    <n v="3"/>
    <n v="21"/>
    <n v="2"/>
    <n v="5"/>
    <n v="3"/>
    <n v="1"/>
    <n v="3"/>
  </r>
  <r>
    <s v="No"/>
    <s v="Travel_Rarely"/>
    <x v="0"/>
    <s v="Current Employees"/>
    <x v="0"/>
    <x v="0"/>
    <x v="281"/>
    <x v="281"/>
    <x v="1"/>
    <x v="0"/>
    <x v="1"/>
    <s v="No"/>
    <s v="Y"/>
    <n v="3"/>
    <n v="-2"/>
    <n v="0"/>
    <n v="42"/>
    <n v="0"/>
    <m/>
    <n v="0"/>
    <n v="1"/>
    <n v="635"/>
    <n v="1"/>
    <x v="1"/>
    <n v="1"/>
    <n v="2"/>
    <n v="99"/>
    <n v="3"/>
    <n v="2"/>
    <n v="2"/>
    <n v="4907"/>
    <n v="24532"/>
    <n v="1"/>
    <n v="25"/>
    <n v="4"/>
    <n v="3"/>
    <n v="80"/>
    <n v="0"/>
    <n v="20"/>
    <n v="3"/>
    <n v="20"/>
    <n v="16"/>
    <n v="11"/>
    <n v="6"/>
  </r>
  <r>
    <s v="No"/>
    <s v="Travel_Frequently"/>
    <x v="2"/>
    <s v="Current Employees"/>
    <x v="0"/>
    <x v="0"/>
    <x v="282"/>
    <x v="282"/>
    <x v="1"/>
    <x v="0"/>
    <x v="0"/>
    <s v="No"/>
    <s v="Y"/>
    <n v="3"/>
    <n v="-2"/>
    <n v="0"/>
    <n v="29"/>
    <n v="0"/>
    <m/>
    <n v="0"/>
    <n v="1"/>
    <n v="442"/>
    <n v="2"/>
    <x v="0"/>
    <n v="1"/>
    <n v="2"/>
    <n v="44"/>
    <n v="3"/>
    <n v="2"/>
    <n v="2"/>
    <n v="4554"/>
    <n v="20260"/>
    <n v="1"/>
    <n v="18"/>
    <n v="3"/>
    <n v="1"/>
    <n v="80"/>
    <n v="0"/>
    <n v="10"/>
    <n v="2"/>
    <n v="10"/>
    <n v="7"/>
    <n v="0"/>
    <n v="9"/>
  </r>
  <r>
    <s v="No"/>
    <s v="Travel_Rarely"/>
    <x v="3"/>
    <s v="Current Employees"/>
    <x v="1"/>
    <x v="4"/>
    <x v="283"/>
    <x v="283"/>
    <x v="1"/>
    <x v="2"/>
    <x v="1"/>
    <s v="Yes"/>
    <s v="Y"/>
    <n v="4"/>
    <n v="-2"/>
    <n v="0"/>
    <n v="55"/>
    <n v="0"/>
    <m/>
    <n v="0"/>
    <n v="1"/>
    <n v="147"/>
    <n v="20"/>
    <x v="0"/>
    <n v="1"/>
    <n v="4"/>
    <n v="37"/>
    <n v="3"/>
    <n v="2"/>
    <n v="4"/>
    <n v="5415"/>
    <n v="15972"/>
    <n v="3"/>
    <n v="19"/>
    <n v="3"/>
    <n v="4"/>
    <n v="80"/>
    <n v="1"/>
    <n v="12"/>
    <n v="3"/>
    <n v="10"/>
    <n v="7"/>
    <n v="0"/>
    <n v="8"/>
  </r>
  <r>
    <s v="No"/>
    <s v="Travel_Frequently"/>
    <x v="2"/>
    <s v="Current Employees"/>
    <x v="1"/>
    <x v="2"/>
    <x v="284"/>
    <x v="284"/>
    <x v="1"/>
    <x v="4"/>
    <x v="1"/>
    <s v="Yes"/>
    <s v="Y"/>
    <n v="3"/>
    <n v="-2"/>
    <n v="0"/>
    <n v="26"/>
    <n v="0"/>
    <m/>
    <n v="0"/>
    <n v="1"/>
    <n v="496"/>
    <n v="11"/>
    <x v="0"/>
    <n v="1"/>
    <n v="1"/>
    <n v="60"/>
    <n v="3"/>
    <n v="2"/>
    <n v="3"/>
    <n v="4741"/>
    <n v="22722"/>
    <n v="1"/>
    <n v="13"/>
    <n v="3"/>
    <n v="3"/>
    <n v="80"/>
    <n v="1"/>
    <n v="5"/>
    <n v="3"/>
    <n v="5"/>
    <n v="3"/>
    <n v="3"/>
    <n v="3"/>
  </r>
  <r>
    <s v="No"/>
    <s v="Travel_Rarely"/>
    <x v="0"/>
    <s v="Current Employees"/>
    <x v="1"/>
    <x v="0"/>
    <x v="285"/>
    <x v="285"/>
    <x v="0"/>
    <x v="1"/>
    <x v="0"/>
    <s v="No"/>
    <s v="Y"/>
    <n v="3"/>
    <n v="-2"/>
    <n v="0"/>
    <n v="37"/>
    <n v="0"/>
    <m/>
    <n v="0"/>
    <n v="1"/>
    <n v="1372"/>
    <n v="1"/>
    <x v="3"/>
    <n v="1"/>
    <n v="4"/>
    <n v="42"/>
    <n v="3"/>
    <n v="1"/>
    <n v="2"/>
    <n v="2115"/>
    <n v="15881"/>
    <n v="1"/>
    <n v="12"/>
    <n v="3"/>
    <n v="2"/>
    <n v="80"/>
    <n v="0"/>
    <n v="17"/>
    <n v="3"/>
    <n v="17"/>
    <n v="12"/>
    <n v="5"/>
    <n v="7"/>
  </r>
  <r>
    <s v="Yes"/>
    <s v="Travel_Frequently"/>
    <x v="0"/>
    <s v="Ex-Employees"/>
    <x v="1"/>
    <x v="0"/>
    <x v="286"/>
    <x v="286"/>
    <x v="1"/>
    <x v="2"/>
    <x v="2"/>
    <s v="Yes"/>
    <s v="Y"/>
    <n v="0"/>
    <n v="-2"/>
    <n v="0"/>
    <n v="44"/>
    <n v="1"/>
    <n v="1"/>
    <n v="1"/>
    <n v="0"/>
    <n v="920"/>
    <n v="24"/>
    <x v="3"/>
    <n v="1"/>
    <n v="4"/>
    <n v="43"/>
    <n v="3"/>
    <n v="1"/>
    <n v="2"/>
    <n v="3161"/>
    <n v="19920"/>
    <n v="3"/>
    <n v="22"/>
    <n v="4"/>
    <n v="4"/>
    <n v="80"/>
    <n v="1"/>
    <n v="19"/>
    <n v="1"/>
    <n v="1"/>
    <n v="0"/>
    <n v="0"/>
    <n v="0"/>
  </r>
  <r>
    <s v="No"/>
    <s v="Travel_Rarely"/>
    <x v="0"/>
    <s v="Current Employees"/>
    <x v="1"/>
    <x v="0"/>
    <x v="287"/>
    <x v="287"/>
    <x v="1"/>
    <x v="4"/>
    <x v="2"/>
    <s v="No"/>
    <s v="Y"/>
    <n v="2"/>
    <n v="-2"/>
    <n v="0"/>
    <n v="38"/>
    <n v="0"/>
    <m/>
    <n v="0"/>
    <n v="1"/>
    <n v="688"/>
    <n v="23"/>
    <x v="2"/>
    <n v="1"/>
    <n v="4"/>
    <n v="82"/>
    <n v="3"/>
    <n v="2"/>
    <n v="2"/>
    <n v="5745"/>
    <n v="18899"/>
    <n v="9"/>
    <n v="14"/>
    <n v="3"/>
    <n v="2"/>
    <n v="80"/>
    <n v="1"/>
    <n v="10"/>
    <n v="3"/>
    <n v="2"/>
    <n v="2"/>
    <n v="1"/>
    <n v="2"/>
  </r>
  <r>
    <s v="Yes"/>
    <s v="Travel_Rarely"/>
    <x v="2"/>
    <s v="Ex-Employees"/>
    <x v="1"/>
    <x v="2"/>
    <x v="288"/>
    <x v="288"/>
    <x v="1"/>
    <x v="2"/>
    <x v="2"/>
    <s v="Yes"/>
    <s v="Y"/>
    <n v="2"/>
    <n v="-2"/>
    <n v="0"/>
    <n v="26"/>
    <n v="1"/>
    <n v="1"/>
    <n v="1"/>
    <n v="0"/>
    <n v="1449"/>
    <n v="16"/>
    <x v="2"/>
    <n v="1"/>
    <n v="1"/>
    <n v="45"/>
    <n v="3"/>
    <n v="1"/>
    <n v="3"/>
    <n v="2373"/>
    <n v="14180"/>
    <n v="2"/>
    <n v="13"/>
    <n v="3"/>
    <n v="4"/>
    <n v="80"/>
    <n v="1"/>
    <n v="5"/>
    <n v="3"/>
    <n v="3"/>
    <n v="2"/>
    <n v="0"/>
    <n v="2"/>
  </r>
  <r>
    <s v="No"/>
    <s v="Travel_Rarely"/>
    <x v="2"/>
    <s v="Current Employees"/>
    <x v="1"/>
    <x v="0"/>
    <x v="289"/>
    <x v="289"/>
    <x v="0"/>
    <x v="1"/>
    <x v="0"/>
    <s v="No"/>
    <s v="Y"/>
    <n v="3"/>
    <n v="-2"/>
    <n v="0"/>
    <n v="28"/>
    <n v="0"/>
    <m/>
    <n v="0"/>
    <n v="1"/>
    <n v="1117"/>
    <n v="8"/>
    <x v="0"/>
    <n v="1"/>
    <n v="4"/>
    <n v="66"/>
    <n v="3"/>
    <n v="1"/>
    <n v="2"/>
    <n v="3310"/>
    <n v="4488"/>
    <n v="1"/>
    <n v="21"/>
    <n v="4"/>
    <n v="4"/>
    <n v="80"/>
    <n v="0"/>
    <n v="5"/>
    <n v="3"/>
    <n v="5"/>
    <n v="3"/>
    <n v="0"/>
    <n v="2"/>
  </r>
  <r>
    <s v="No"/>
    <s v="Travel_Frequently"/>
    <x v="1"/>
    <s v="Current Employees"/>
    <x v="1"/>
    <x v="0"/>
    <x v="290"/>
    <x v="290"/>
    <x v="0"/>
    <x v="7"/>
    <x v="0"/>
    <s v="Yes"/>
    <s v="Y"/>
    <n v="4"/>
    <n v="-2"/>
    <n v="0"/>
    <n v="49"/>
    <n v="0"/>
    <m/>
    <n v="0"/>
    <n v="1"/>
    <n v="636"/>
    <n v="10"/>
    <x v="2"/>
    <n v="1"/>
    <n v="3"/>
    <n v="35"/>
    <n v="3"/>
    <n v="5"/>
    <n v="2"/>
    <n v="18665"/>
    <n v="25594"/>
    <n v="9"/>
    <n v="11"/>
    <n v="3"/>
    <n v="4"/>
    <n v="80"/>
    <n v="0"/>
    <n v="22"/>
    <n v="3"/>
    <n v="3"/>
    <n v="2"/>
    <n v="1"/>
    <n v="2"/>
  </r>
  <r>
    <s v="No"/>
    <s v="Travel_Rarely"/>
    <x v="0"/>
    <s v="Current Employees"/>
    <x v="1"/>
    <x v="4"/>
    <x v="291"/>
    <x v="291"/>
    <x v="1"/>
    <x v="1"/>
    <x v="0"/>
    <s v="No"/>
    <s v="Y"/>
    <n v="2"/>
    <n v="-2"/>
    <n v="0"/>
    <n v="36"/>
    <n v="0"/>
    <m/>
    <n v="0"/>
    <n v="1"/>
    <n v="506"/>
    <n v="3"/>
    <x v="3"/>
    <n v="1"/>
    <n v="4"/>
    <n v="30"/>
    <n v="3"/>
    <n v="2"/>
    <n v="4"/>
    <n v="4485"/>
    <n v="26285"/>
    <n v="4"/>
    <n v="12"/>
    <n v="3"/>
    <n v="4"/>
    <n v="80"/>
    <n v="0"/>
    <n v="10"/>
    <n v="3"/>
    <n v="8"/>
    <n v="0"/>
    <n v="7"/>
    <n v="7"/>
  </r>
  <r>
    <s v="No"/>
    <s v="Travel_Frequently"/>
    <x v="2"/>
    <s v="Current Employees"/>
    <x v="0"/>
    <x v="3"/>
    <x v="292"/>
    <x v="292"/>
    <x v="0"/>
    <x v="6"/>
    <x v="2"/>
    <s v="No"/>
    <s v="Y"/>
    <n v="5"/>
    <n v="-2"/>
    <n v="0"/>
    <n v="31"/>
    <n v="0"/>
    <m/>
    <n v="0"/>
    <n v="1"/>
    <n v="444"/>
    <n v="5"/>
    <x v="3"/>
    <n v="1"/>
    <n v="4"/>
    <n v="84"/>
    <n v="3"/>
    <n v="1"/>
    <n v="1"/>
    <n v="2789"/>
    <n v="3909"/>
    <n v="1"/>
    <n v="11"/>
    <n v="3"/>
    <n v="3"/>
    <n v="80"/>
    <n v="1"/>
    <n v="2"/>
    <n v="2"/>
    <n v="2"/>
    <n v="2"/>
    <n v="2"/>
    <n v="2"/>
  </r>
  <r>
    <s v="Yes"/>
    <s v="Travel_Rarely"/>
    <x v="2"/>
    <s v="Ex-Employees"/>
    <x v="0"/>
    <x v="3"/>
    <x v="293"/>
    <x v="293"/>
    <x v="1"/>
    <x v="0"/>
    <x v="0"/>
    <s v="Yes"/>
    <s v="Y"/>
    <n v="0"/>
    <n v="-2"/>
    <n v="0"/>
    <n v="26"/>
    <n v="1"/>
    <n v="1"/>
    <n v="1"/>
    <n v="0"/>
    <n v="950"/>
    <n v="4"/>
    <x v="2"/>
    <n v="1"/>
    <n v="4"/>
    <n v="48"/>
    <n v="2"/>
    <n v="2"/>
    <n v="1"/>
    <n v="5828"/>
    <n v="8450"/>
    <n v="1"/>
    <n v="12"/>
    <n v="3"/>
    <n v="2"/>
    <n v="80"/>
    <n v="0"/>
    <n v="8"/>
    <n v="3"/>
    <n v="8"/>
    <n v="7"/>
    <n v="7"/>
    <n v="4"/>
  </r>
  <r>
    <s v="No"/>
    <s v="Travel_Frequently"/>
    <x v="0"/>
    <s v="Current Employees"/>
    <x v="1"/>
    <x v="2"/>
    <x v="294"/>
    <x v="294"/>
    <x v="1"/>
    <x v="1"/>
    <x v="1"/>
    <s v="Yes"/>
    <s v="Y"/>
    <n v="3"/>
    <n v="-2"/>
    <n v="0"/>
    <n v="37"/>
    <n v="0"/>
    <m/>
    <n v="0"/>
    <n v="1"/>
    <n v="889"/>
    <n v="9"/>
    <x v="3"/>
    <n v="1"/>
    <n v="2"/>
    <n v="53"/>
    <n v="3"/>
    <n v="1"/>
    <n v="4"/>
    <n v="2326"/>
    <n v="11411"/>
    <n v="1"/>
    <n v="12"/>
    <n v="3"/>
    <n v="3"/>
    <n v="80"/>
    <n v="3"/>
    <n v="4"/>
    <n v="2"/>
    <n v="4"/>
    <n v="2"/>
    <n v="1"/>
    <n v="2"/>
  </r>
  <r>
    <s v="No"/>
    <s v="Travel_Frequently"/>
    <x v="0"/>
    <s v="Current Employees"/>
    <x v="0"/>
    <x v="3"/>
    <x v="295"/>
    <x v="295"/>
    <x v="0"/>
    <x v="0"/>
    <x v="1"/>
    <s v="No"/>
    <s v="Y"/>
    <n v="2"/>
    <n v="-2"/>
    <n v="0"/>
    <n v="42"/>
    <n v="0"/>
    <m/>
    <n v="0"/>
    <n v="1"/>
    <n v="555"/>
    <n v="26"/>
    <x v="3"/>
    <n v="1"/>
    <n v="3"/>
    <n v="77"/>
    <n v="3"/>
    <n v="4"/>
    <n v="1"/>
    <n v="13525"/>
    <n v="14864"/>
    <n v="5"/>
    <n v="14"/>
    <n v="3"/>
    <n v="4"/>
    <n v="80"/>
    <n v="1"/>
    <n v="23"/>
    <n v="4"/>
    <n v="20"/>
    <n v="4"/>
    <n v="4"/>
    <n v="8"/>
  </r>
  <r>
    <s v="Yes"/>
    <s v="Travel_Rarely"/>
    <x v="4"/>
    <s v="Ex-Employees"/>
    <x v="1"/>
    <x v="0"/>
    <x v="296"/>
    <x v="296"/>
    <x v="1"/>
    <x v="2"/>
    <x v="0"/>
    <s v="No"/>
    <s v="Y"/>
    <n v="2"/>
    <n v="-2"/>
    <n v="0"/>
    <n v="18"/>
    <n v="1"/>
    <n v="1"/>
    <n v="1"/>
    <n v="0"/>
    <n v="230"/>
    <n v="3"/>
    <x v="3"/>
    <n v="1"/>
    <n v="3"/>
    <n v="54"/>
    <n v="3"/>
    <n v="1"/>
    <n v="2"/>
    <n v="1420"/>
    <n v="25233"/>
    <n v="1"/>
    <n v="13"/>
    <n v="3"/>
    <n v="3"/>
    <n v="80"/>
    <n v="0"/>
    <n v="0"/>
    <n v="3"/>
    <n v="0"/>
    <n v="0"/>
    <n v="0"/>
    <n v="0"/>
  </r>
  <r>
    <s v="No"/>
    <s v="Travel_Rarely"/>
    <x v="0"/>
    <s v="Current Employees"/>
    <x v="0"/>
    <x v="3"/>
    <x v="297"/>
    <x v="297"/>
    <x v="1"/>
    <x v="0"/>
    <x v="1"/>
    <s v="No"/>
    <s v="Y"/>
    <n v="3"/>
    <n v="-2"/>
    <n v="0"/>
    <n v="35"/>
    <n v="0"/>
    <m/>
    <n v="0"/>
    <n v="1"/>
    <n v="1232"/>
    <n v="16"/>
    <x v="3"/>
    <n v="1"/>
    <n v="3"/>
    <n v="96"/>
    <n v="3"/>
    <n v="3"/>
    <n v="1"/>
    <n v="8020"/>
    <n v="5100"/>
    <n v="0"/>
    <n v="15"/>
    <n v="3"/>
    <n v="3"/>
    <n v="80"/>
    <n v="2"/>
    <n v="12"/>
    <n v="2"/>
    <n v="11"/>
    <n v="9"/>
    <n v="6"/>
    <n v="9"/>
  </r>
  <r>
    <s v="No"/>
    <s v="Travel_Frequently"/>
    <x v="0"/>
    <s v="Current Employees"/>
    <x v="1"/>
    <x v="0"/>
    <x v="298"/>
    <x v="298"/>
    <x v="1"/>
    <x v="2"/>
    <x v="1"/>
    <s v="No"/>
    <s v="Y"/>
    <n v="2"/>
    <n v="-2"/>
    <n v="0"/>
    <n v="36"/>
    <n v="0"/>
    <m/>
    <n v="0"/>
    <n v="1"/>
    <n v="566"/>
    <n v="18"/>
    <x v="2"/>
    <n v="1"/>
    <n v="3"/>
    <n v="81"/>
    <n v="4"/>
    <n v="1"/>
    <n v="2"/>
    <n v="3688"/>
    <n v="7122"/>
    <n v="4"/>
    <n v="18"/>
    <n v="3"/>
    <n v="4"/>
    <n v="80"/>
    <n v="2"/>
    <n v="4"/>
    <n v="3"/>
    <n v="1"/>
    <n v="0"/>
    <n v="0"/>
    <n v="0"/>
  </r>
  <r>
    <s v="No"/>
    <s v="Travel_Rarely"/>
    <x v="1"/>
    <s v="Current Employees"/>
    <x v="1"/>
    <x v="2"/>
    <x v="299"/>
    <x v="299"/>
    <x v="1"/>
    <x v="3"/>
    <x v="2"/>
    <s v="No"/>
    <s v="Y"/>
    <n v="3"/>
    <n v="-2"/>
    <n v="0"/>
    <n v="51"/>
    <n v="0"/>
    <m/>
    <n v="0"/>
    <n v="1"/>
    <n v="1302"/>
    <n v="2"/>
    <x v="3"/>
    <n v="1"/>
    <n v="4"/>
    <n v="84"/>
    <n v="1"/>
    <n v="2"/>
    <n v="3"/>
    <n v="5482"/>
    <n v="16321"/>
    <n v="5"/>
    <n v="18"/>
    <n v="3"/>
    <n v="4"/>
    <n v="80"/>
    <n v="1"/>
    <n v="13"/>
    <n v="3"/>
    <n v="4"/>
    <n v="1"/>
    <n v="1"/>
    <n v="2"/>
  </r>
  <r>
    <s v="No"/>
    <s v="Travel_Rarely"/>
    <x v="0"/>
    <s v="Current Employees"/>
    <x v="0"/>
    <x v="0"/>
    <x v="300"/>
    <x v="300"/>
    <x v="1"/>
    <x v="5"/>
    <x v="0"/>
    <s v="No"/>
    <s v="Y"/>
    <n v="2"/>
    <n v="-2"/>
    <n v="0"/>
    <n v="41"/>
    <n v="0"/>
    <m/>
    <n v="0"/>
    <n v="1"/>
    <n v="334"/>
    <n v="2"/>
    <x v="2"/>
    <n v="1"/>
    <n v="4"/>
    <n v="88"/>
    <n v="3"/>
    <n v="4"/>
    <n v="2"/>
    <n v="16015"/>
    <n v="15896"/>
    <n v="1"/>
    <n v="19"/>
    <n v="3"/>
    <n v="2"/>
    <n v="80"/>
    <n v="0"/>
    <n v="22"/>
    <n v="3"/>
    <n v="22"/>
    <n v="10"/>
    <n v="0"/>
    <n v="4"/>
  </r>
  <r>
    <s v="No"/>
    <s v="Travel_Rarely"/>
    <x v="4"/>
    <s v="Current Employees"/>
    <x v="0"/>
    <x v="2"/>
    <x v="301"/>
    <x v="301"/>
    <x v="0"/>
    <x v="6"/>
    <x v="0"/>
    <s v="No"/>
    <s v="Y"/>
    <n v="2"/>
    <n v="-2"/>
    <n v="0"/>
    <n v="18"/>
    <n v="0"/>
    <m/>
    <n v="0"/>
    <n v="1"/>
    <n v="812"/>
    <n v="10"/>
    <x v="3"/>
    <n v="1"/>
    <n v="4"/>
    <n v="69"/>
    <n v="2"/>
    <n v="1"/>
    <n v="3"/>
    <n v="1200"/>
    <n v="9724"/>
    <n v="1"/>
    <n v="12"/>
    <n v="3"/>
    <n v="1"/>
    <n v="80"/>
    <n v="0"/>
    <n v="0"/>
    <n v="3"/>
    <n v="0"/>
    <n v="0"/>
    <n v="0"/>
    <n v="0"/>
  </r>
  <r>
    <s v="No"/>
    <s v="Travel_Rarely"/>
    <x v="2"/>
    <s v="Current Employees"/>
    <x v="1"/>
    <x v="2"/>
    <x v="302"/>
    <x v="302"/>
    <x v="1"/>
    <x v="4"/>
    <x v="0"/>
    <s v="No"/>
    <s v="Y"/>
    <n v="2"/>
    <n v="-2"/>
    <n v="0"/>
    <n v="28"/>
    <n v="0"/>
    <m/>
    <n v="0"/>
    <n v="1"/>
    <n v="1476"/>
    <n v="16"/>
    <x v="0"/>
    <n v="1"/>
    <n v="2"/>
    <n v="68"/>
    <n v="4"/>
    <n v="2"/>
    <n v="3"/>
    <n v="5661"/>
    <n v="4824"/>
    <n v="0"/>
    <n v="19"/>
    <n v="3"/>
    <n v="3"/>
    <n v="80"/>
    <n v="0"/>
    <n v="9"/>
    <n v="3"/>
    <n v="8"/>
    <n v="3"/>
    <n v="0"/>
    <n v="7"/>
  </r>
  <r>
    <s v="No"/>
    <s v="Travel_Rarely"/>
    <x v="2"/>
    <s v="Current Employees"/>
    <x v="0"/>
    <x v="4"/>
    <x v="303"/>
    <x v="303"/>
    <x v="1"/>
    <x v="0"/>
    <x v="1"/>
    <s v="No"/>
    <s v="Y"/>
    <n v="3"/>
    <n v="-2"/>
    <n v="0"/>
    <n v="31"/>
    <n v="0"/>
    <m/>
    <n v="0"/>
    <n v="1"/>
    <n v="218"/>
    <n v="7"/>
    <x v="3"/>
    <n v="1"/>
    <n v="4"/>
    <n v="100"/>
    <n v="4"/>
    <n v="2"/>
    <n v="4"/>
    <n v="6929"/>
    <n v="12241"/>
    <n v="4"/>
    <n v="11"/>
    <n v="3"/>
    <n v="2"/>
    <n v="80"/>
    <n v="1"/>
    <n v="10"/>
    <n v="2"/>
    <n v="8"/>
    <n v="7"/>
    <n v="7"/>
    <n v="7"/>
  </r>
  <r>
    <s v="No"/>
    <s v="Travel_Rarely"/>
    <x v="0"/>
    <s v="Current Employees"/>
    <x v="1"/>
    <x v="2"/>
    <x v="304"/>
    <x v="304"/>
    <x v="1"/>
    <x v="4"/>
    <x v="2"/>
    <s v="No"/>
    <s v="Y"/>
    <n v="5"/>
    <n v="-2"/>
    <n v="0"/>
    <n v="39"/>
    <n v="0"/>
    <m/>
    <n v="0"/>
    <n v="1"/>
    <n v="1132"/>
    <n v="1"/>
    <x v="3"/>
    <n v="1"/>
    <n v="3"/>
    <n v="48"/>
    <n v="4"/>
    <n v="3"/>
    <n v="4"/>
    <n v="9613"/>
    <n v="10942"/>
    <n v="0"/>
    <n v="17"/>
    <n v="3"/>
    <n v="1"/>
    <n v="80"/>
    <n v="3"/>
    <n v="19"/>
    <n v="2"/>
    <n v="18"/>
    <n v="10"/>
    <n v="3"/>
    <n v="7"/>
  </r>
  <r>
    <s v="No"/>
    <s v="Non-Travel"/>
    <x v="0"/>
    <s v="Current Employees"/>
    <x v="1"/>
    <x v="0"/>
    <x v="305"/>
    <x v="305"/>
    <x v="0"/>
    <x v="2"/>
    <x v="1"/>
    <s v="No"/>
    <s v="Y"/>
    <n v="3"/>
    <n v="-2"/>
    <n v="0"/>
    <n v="36"/>
    <n v="0"/>
    <m/>
    <n v="0"/>
    <n v="1"/>
    <n v="1105"/>
    <n v="24"/>
    <x v="2"/>
    <n v="1"/>
    <n v="2"/>
    <n v="47"/>
    <n v="3"/>
    <n v="2"/>
    <n v="2"/>
    <n v="5674"/>
    <n v="6927"/>
    <n v="7"/>
    <n v="15"/>
    <n v="3"/>
    <n v="3"/>
    <n v="80"/>
    <n v="1"/>
    <n v="11"/>
    <n v="3"/>
    <n v="9"/>
    <n v="8"/>
    <n v="0"/>
    <n v="8"/>
  </r>
  <r>
    <s v="No"/>
    <s v="Travel_Rarely"/>
    <x v="2"/>
    <s v="Current Employees"/>
    <x v="0"/>
    <x v="0"/>
    <x v="306"/>
    <x v="306"/>
    <x v="1"/>
    <x v="0"/>
    <x v="1"/>
    <s v="No"/>
    <s v="Y"/>
    <n v="3"/>
    <n v="-2"/>
    <n v="0"/>
    <n v="32"/>
    <n v="0"/>
    <m/>
    <n v="0"/>
    <n v="1"/>
    <n v="906"/>
    <n v="7"/>
    <x v="3"/>
    <n v="1"/>
    <n v="4"/>
    <n v="91"/>
    <n v="2"/>
    <n v="2"/>
    <n v="2"/>
    <n v="5484"/>
    <n v="16985"/>
    <n v="1"/>
    <n v="14"/>
    <n v="3"/>
    <n v="3"/>
    <n v="80"/>
    <n v="1"/>
    <n v="13"/>
    <n v="2"/>
    <n v="13"/>
    <n v="8"/>
    <n v="4"/>
    <n v="8"/>
  </r>
  <r>
    <s v="No"/>
    <s v="Travel_Rarely"/>
    <x v="0"/>
    <s v="Current Employees"/>
    <x v="1"/>
    <x v="0"/>
    <x v="307"/>
    <x v="307"/>
    <x v="0"/>
    <x v="7"/>
    <x v="1"/>
    <s v="No"/>
    <s v="Y"/>
    <n v="2"/>
    <n v="-2"/>
    <n v="0"/>
    <n v="38"/>
    <n v="0"/>
    <m/>
    <n v="0"/>
    <n v="1"/>
    <n v="849"/>
    <n v="25"/>
    <x v="0"/>
    <n v="1"/>
    <n v="1"/>
    <n v="81"/>
    <n v="2"/>
    <n v="3"/>
    <n v="2"/>
    <n v="12061"/>
    <n v="26707"/>
    <n v="3"/>
    <n v="17"/>
    <n v="3"/>
    <n v="3"/>
    <n v="80"/>
    <n v="1"/>
    <n v="19"/>
    <n v="3"/>
    <n v="10"/>
    <n v="8"/>
    <n v="0"/>
    <n v="1"/>
  </r>
  <r>
    <s v="No"/>
    <s v="Non-Travel"/>
    <x v="3"/>
    <s v="Current Employees"/>
    <x v="1"/>
    <x v="0"/>
    <x v="308"/>
    <x v="308"/>
    <x v="1"/>
    <x v="4"/>
    <x v="2"/>
    <s v="Yes"/>
    <s v="Y"/>
    <n v="2"/>
    <n v="-2"/>
    <n v="0"/>
    <n v="58"/>
    <n v="0"/>
    <m/>
    <n v="0"/>
    <n v="1"/>
    <n v="390"/>
    <n v="1"/>
    <x v="2"/>
    <n v="1"/>
    <n v="4"/>
    <n v="32"/>
    <n v="1"/>
    <n v="2"/>
    <n v="2"/>
    <n v="5660"/>
    <n v="17056"/>
    <n v="2"/>
    <n v="13"/>
    <n v="3"/>
    <n v="4"/>
    <n v="80"/>
    <n v="1"/>
    <n v="12"/>
    <n v="3"/>
    <n v="5"/>
    <n v="3"/>
    <n v="1"/>
    <n v="2"/>
  </r>
  <r>
    <s v="No"/>
    <s v="Travel_Rarely"/>
    <x v="2"/>
    <s v="Current Employees"/>
    <x v="1"/>
    <x v="4"/>
    <x v="309"/>
    <x v="309"/>
    <x v="1"/>
    <x v="1"/>
    <x v="1"/>
    <s v="Yes"/>
    <s v="Y"/>
    <n v="4"/>
    <n v="-2"/>
    <n v="0"/>
    <n v="31"/>
    <n v="0"/>
    <m/>
    <n v="0"/>
    <n v="1"/>
    <n v="691"/>
    <n v="5"/>
    <x v="2"/>
    <n v="1"/>
    <n v="4"/>
    <n v="86"/>
    <n v="3"/>
    <n v="1"/>
    <n v="4"/>
    <n v="4821"/>
    <n v="10077"/>
    <n v="0"/>
    <n v="12"/>
    <n v="3"/>
    <n v="3"/>
    <n v="80"/>
    <n v="1"/>
    <n v="6"/>
    <n v="3"/>
    <n v="5"/>
    <n v="2"/>
    <n v="0"/>
    <n v="3"/>
  </r>
  <r>
    <s v="No"/>
    <s v="Travel_Rarely"/>
    <x v="2"/>
    <s v="Current Employees"/>
    <x v="2"/>
    <x v="5"/>
    <x v="310"/>
    <x v="310"/>
    <x v="1"/>
    <x v="8"/>
    <x v="1"/>
    <s v="No"/>
    <s v="Y"/>
    <n v="1"/>
    <n v="-2"/>
    <n v="0"/>
    <n v="31"/>
    <n v="0"/>
    <m/>
    <n v="0"/>
    <n v="1"/>
    <n v="106"/>
    <n v="2"/>
    <x v="3"/>
    <n v="1"/>
    <n v="1"/>
    <n v="62"/>
    <n v="2"/>
    <n v="2"/>
    <n v="3"/>
    <n v="6410"/>
    <n v="17822"/>
    <n v="3"/>
    <n v="12"/>
    <n v="3"/>
    <n v="4"/>
    <n v="80"/>
    <n v="0"/>
    <n v="9"/>
    <n v="3"/>
    <n v="2"/>
    <n v="2"/>
    <n v="1"/>
    <n v="0"/>
  </r>
  <r>
    <s v="No"/>
    <s v="Travel_Frequently"/>
    <x v="1"/>
    <s v="Current Employees"/>
    <x v="1"/>
    <x v="0"/>
    <x v="311"/>
    <x v="311"/>
    <x v="1"/>
    <x v="2"/>
    <x v="2"/>
    <s v="No"/>
    <s v="Y"/>
    <n v="2"/>
    <n v="-2"/>
    <n v="0"/>
    <n v="45"/>
    <n v="0"/>
    <m/>
    <n v="0"/>
    <n v="1"/>
    <n v="1249"/>
    <n v="7"/>
    <x v="3"/>
    <n v="1"/>
    <n v="1"/>
    <n v="97"/>
    <n v="3"/>
    <n v="3"/>
    <n v="2"/>
    <n v="5210"/>
    <n v="20308"/>
    <n v="1"/>
    <n v="18"/>
    <n v="3"/>
    <n v="1"/>
    <n v="80"/>
    <n v="1"/>
    <n v="24"/>
    <n v="3"/>
    <n v="24"/>
    <n v="9"/>
    <n v="9"/>
    <n v="11"/>
  </r>
  <r>
    <s v="No"/>
    <s v="Travel_Rarely"/>
    <x v="2"/>
    <s v="Current Employees"/>
    <x v="1"/>
    <x v="0"/>
    <x v="312"/>
    <x v="312"/>
    <x v="1"/>
    <x v="1"/>
    <x v="2"/>
    <s v="Yes"/>
    <s v="Y"/>
    <n v="2"/>
    <n v="-2"/>
    <n v="0"/>
    <n v="31"/>
    <n v="0"/>
    <m/>
    <n v="0"/>
    <n v="1"/>
    <n v="192"/>
    <n v="2"/>
    <x v="2"/>
    <n v="1"/>
    <n v="3"/>
    <n v="32"/>
    <n v="3"/>
    <n v="1"/>
    <n v="2"/>
    <n v="2695"/>
    <n v="7747"/>
    <n v="0"/>
    <n v="18"/>
    <n v="3"/>
    <n v="2"/>
    <n v="80"/>
    <n v="1"/>
    <n v="3"/>
    <n v="1"/>
    <n v="2"/>
    <n v="2"/>
    <n v="2"/>
    <n v="2"/>
  </r>
  <r>
    <s v="No"/>
    <s v="Travel_Frequently"/>
    <x v="2"/>
    <s v="Current Employees"/>
    <x v="1"/>
    <x v="0"/>
    <x v="313"/>
    <x v="313"/>
    <x v="0"/>
    <x v="5"/>
    <x v="1"/>
    <s v="No"/>
    <s v="Y"/>
    <n v="2"/>
    <n v="-2"/>
    <n v="0"/>
    <n v="33"/>
    <n v="0"/>
    <m/>
    <n v="0"/>
    <n v="1"/>
    <n v="553"/>
    <n v="5"/>
    <x v="2"/>
    <n v="1"/>
    <n v="4"/>
    <n v="74"/>
    <n v="3"/>
    <n v="3"/>
    <n v="2"/>
    <n v="11878"/>
    <n v="23364"/>
    <n v="6"/>
    <n v="11"/>
    <n v="3"/>
    <n v="2"/>
    <n v="80"/>
    <n v="2"/>
    <n v="12"/>
    <n v="3"/>
    <n v="10"/>
    <n v="6"/>
    <n v="8"/>
    <n v="8"/>
  </r>
  <r>
    <s v="No"/>
    <s v="Travel_Rarely"/>
    <x v="0"/>
    <s v="Current Employees"/>
    <x v="1"/>
    <x v="2"/>
    <x v="314"/>
    <x v="314"/>
    <x v="1"/>
    <x v="5"/>
    <x v="1"/>
    <s v="Yes"/>
    <s v="Y"/>
    <n v="3"/>
    <n v="-2"/>
    <n v="0"/>
    <n v="39"/>
    <n v="0"/>
    <m/>
    <n v="0"/>
    <n v="1"/>
    <n v="117"/>
    <n v="10"/>
    <x v="1"/>
    <n v="1"/>
    <n v="3"/>
    <n v="99"/>
    <n v="3"/>
    <n v="4"/>
    <n v="3"/>
    <n v="17068"/>
    <n v="5355"/>
    <n v="1"/>
    <n v="14"/>
    <n v="3"/>
    <n v="4"/>
    <n v="80"/>
    <n v="0"/>
    <n v="21"/>
    <n v="3"/>
    <n v="21"/>
    <n v="9"/>
    <n v="11"/>
    <n v="10"/>
  </r>
  <r>
    <s v="No"/>
    <s v="Travel_Frequently"/>
    <x v="0"/>
    <s v="Current Employees"/>
    <x v="1"/>
    <x v="0"/>
    <x v="315"/>
    <x v="315"/>
    <x v="0"/>
    <x v="2"/>
    <x v="0"/>
    <s v="No"/>
    <s v="Y"/>
    <n v="5"/>
    <n v="-2"/>
    <n v="0"/>
    <n v="43"/>
    <n v="0"/>
    <m/>
    <n v="0"/>
    <n v="1"/>
    <n v="185"/>
    <n v="10"/>
    <x v="2"/>
    <n v="1"/>
    <n v="3"/>
    <n v="33"/>
    <n v="3"/>
    <n v="1"/>
    <n v="2"/>
    <n v="2455"/>
    <n v="10675"/>
    <n v="0"/>
    <n v="19"/>
    <n v="3"/>
    <n v="1"/>
    <n v="80"/>
    <n v="0"/>
    <n v="9"/>
    <n v="3"/>
    <n v="8"/>
    <n v="7"/>
    <n v="1"/>
    <n v="7"/>
  </r>
  <r>
    <s v="No"/>
    <s v="Travel_Rarely"/>
    <x v="1"/>
    <s v="Current Employees"/>
    <x v="1"/>
    <x v="4"/>
    <x v="316"/>
    <x v="316"/>
    <x v="0"/>
    <x v="4"/>
    <x v="0"/>
    <s v="Yes"/>
    <s v="Y"/>
    <n v="2"/>
    <n v="-2"/>
    <n v="0"/>
    <n v="49"/>
    <n v="0"/>
    <m/>
    <n v="0"/>
    <n v="1"/>
    <n v="1091"/>
    <n v="1"/>
    <x v="0"/>
    <n v="1"/>
    <n v="4"/>
    <n v="90"/>
    <n v="2"/>
    <n v="4"/>
    <n v="4"/>
    <n v="13964"/>
    <n v="17810"/>
    <n v="7"/>
    <n v="12"/>
    <n v="3"/>
    <n v="4"/>
    <n v="80"/>
    <n v="0"/>
    <n v="25"/>
    <n v="3"/>
    <n v="7"/>
    <n v="1"/>
    <n v="0"/>
    <n v="7"/>
  </r>
  <r>
    <s v="Yes"/>
    <s v="Travel_Rarely"/>
    <x v="1"/>
    <s v="Ex-Employees"/>
    <x v="1"/>
    <x v="2"/>
    <x v="317"/>
    <x v="317"/>
    <x v="1"/>
    <x v="1"/>
    <x v="1"/>
    <s v="No"/>
    <s v="Y"/>
    <n v="3"/>
    <n v="-2"/>
    <n v="0"/>
    <n v="52"/>
    <n v="1"/>
    <n v="1"/>
    <n v="1"/>
    <n v="0"/>
    <n v="723"/>
    <n v="8"/>
    <x v="2"/>
    <n v="1"/>
    <n v="3"/>
    <n v="85"/>
    <n v="2"/>
    <n v="2"/>
    <n v="3"/>
    <n v="4941"/>
    <n v="17747"/>
    <n v="2"/>
    <n v="15"/>
    <n v="3"/>
    <n v="1"/>
    <n v="80"/>
    <n v="0"/>
    <n v="11"/>
    <n v="2"/>
    <n v="8"/>
    <n v="2"/>
    <n v="7"/>
    <n v="7"/>
  </r>
  <r>
    <s v="No"/>
    <s v="Travel_Rarely"/>
    <x v="2"/>
    <s v="Current Employees"/>
    <x v="1"/>
    <x v="0"/>
    <x v="318"/>
    <x v="318"/>
    <x v="0"/>
    <x v="1"/>
    <x v="0"/>
    <s v="Yes"/>
    <s v="Y"/>
    <n v="2"/>
    <n v="-2"/>
    <n v="0"/>
    <n v="27"/>
    <n v="0"/>
    <m/>
    <n v="0"/>
    <n v="1"/>
    <n v="1220"/>
    <n v="5"/>
    <x v="3"/>
    <n v="1"/>
    <n v="3"/>
    <n v="85"/>
    <n v="3"/>
    <n v="1"/>
    <n v="2"/>
    <n v="2478"/>
    <n v="20938"/>
    <n v="1"/>
    <n v="12"/>
    <n v="3"/>
    <n v="2"/>
    <n v="80"/>
    <n v="0"/>
    <n v="4"/>
    <n v="2"/>
    <n v="4"/>
    <n v="3"/>
    <n v="1"/>
    <n v="2"/>
  </r>
  <r>
    <s v="No"/>
    <s v="Travel_Rarely"/>
    <x v="2"/>
    <s v="Current Employees"/>
    <x v="0"/>
    <x v="4"/>
    <x v="319"/>
    <x v="319"/>
    <x v="0"/>
    <x v="0"/>
    <x v="1"/>
    <s v="Yes"/>
    <s v="Y"/>
    <n v="2"/>
    <n v="-2"/>
    <n v="0"/>
    <n v="32"/>
    <n v="0"/>
    <m/>
    <n v="0"/>
    <n v="1"/>
    <n v="588"/>
    <n v="8"/>
    <x v="0"/>
    <n v="1"/>
    <n v="4"/>
    <n v="65"/>
    <n v="2"/>
    <n v="2"/>
    <n v="4"/>
    <n v="5228"/>
    <n v="24624"/>
    <n v="1"/>
    <n v="11"/>
    <n v="3"/>
    <n v="4"/>
    <n v="80"/>
    <n v="0"/>
    <n v="13"/>
    <n v="3"/>
    <n v="13"/>
    <n v="12"/>
    <n v="11"/>
    <n v="9"/>
  </r>
  <r>
    <s v="No"/>
    <s v="Travel_Rarely"/>
    <x v="2"/>
    <s v="Current Employees"/>
    <x v="0"/>
    <x v="0"/>
    <x v="320"/>
    <x v="320"/>
    <x v="1"/>
    <x v="0"/>
    <x v="0"/>
    <s v="Yes"/>
    <s v="Y"/>
    <n v="3"/>
    <n v="-2"/>
    <n v="0"/>
    <n v="27"/>
    <n v="0"/>
    <m/>
    <n v="0"/>
    <n v="1"/>
    <n v="1377"/>
    <n v="2"/>
    <x v="3"/>
    <n v="1"/>
    <n v="4"/>
    <n v="74"/>
    <n v="3"/>
    <n v="2"/>
    <n v="2"/>
    <n v="4478"/>
    <n v="5242"/>
    <n v="1"/>
    <n v="11"/>
    <n v="3"/>
    <n v="1"/>
    <n v="80"/>
    <n v="0"/>
    <n v="5"/>
    <n v="3"/>
    <n v="5"/>
    <n v="4"/>
    <n v="0"/>
    <n v="4"/>
  </r>
  <r>
    <s v="No"/>
    <s v="Travel_Rarely"/>
    <x v="2"/>
    <s v="Current Employees"/>
    <x v="0"/>
    <x v="3"/>
    <x v="321"/>
    <x v="321"/>
    <x v="1"/>
    <x v="0"/>
    <x v="2"/>
    <s v="No"/>
    <s v="Y"/>
    <n v="3"/>
    <n v="-2"/>
    <n v="0"/>
    <n v="31"/>
    <n v="0"/>
    <m/>
    <n v="0"/>
    <n v="1"/>
    <n v="691"/>
    <n v="7"/>
    <x v="3"/>
    <n v="1"/>
    <n v="4"/>
    <n v="73"/>
    <n v="3"/>
    <n v="2"/>
    <n v="1"/>
    <n v="7547"/>
    <n v="7143"/>
    <n v="4"/>
    <n v="12"/>
    <n v="3"/>
    <n v="4"/>
    <n v="80"/>
    <n v="3"/>
    <n v="13"/>
    <n v="3"/>
    <n v="7"/>
    <n v="7"/>
    <n v="1"/>
    <n v="7"/>
  </r>
  <r>
    <s v="No"/>
    <s v="Travel_Rarely"/>
    <x v="2"/>
    <s v="Current Employees"/>
    <x v="1"/>
    <x v="2"/>
    <x v="322"/>
    <x v="322"/>
    <x v="0"/>
    <x v="1"/>
    <x v="0"/>
    <s v="No"/>
    <s v="Y"/>
    <n v="0"/>
    <n v="-2"/>
    <n v="0"/>
    <n v="32"/>
    <n v="0"/>
    <m/>
    <n v="0"/>
    <n v="1"/>
    <n v="1018"/>
    <n v="2"/>
    <x v="2"/>
    <n v="1"/>
    <n v="1"/>
    <n v="74"/>
    <n v="4"/>
    <n v="2"/>
    <n v="4"/>
    <n v="5055"/>
    <n v="10557"/>
    <n v="7"/>
    <n v="16"/>
    <n v="3"/>
    <n v="3"/>
    <n v="80"/>
    <n v="0"/>
    <n v="10"/>
    <n v="2"/>
    <n v="7"/>
    <n v="7"/>
    <n v="0"/>
    <n v="7"/>
  </r>
  <r>
    <s v="Yes"/>
    <s v="Travel_Rarely"/>
    <x v="2"/>
    <s v="Ex-Employees"/>
    <x v="1"/>
    <x v="2"/>
    <x v="323"/>
    <x v="323"/>
    <x v="1"/>
    <x v="1"/>
    <x v="1"/>
    <s v="Yes"/>
    <s v="Y"/>
    <n v="4"/>
    <n v="-2"/>
    <n v="0"/>
    <n v="28"/>
    <n v="1"/>
    <n v="1"/>
    <n v="1"/>
    <n v="0"/>
    <n v="1157"/>
    <n v="2"/>
    <x v="2"/>
    <n v="1"/>
    <n v="1"/>
    <n v="84"/>
    <n v="1"/>
    <n v="1"/>
    <n v="4"/>
    <n v="3464"/>
    <n v="24737"/>
    <n v="5"/>
    <n v="13"/>
    <n v="3"/>
    <n v="4"/>
    <n v="80"/>
    <n v="0"/>
    <n v="5"/>
    <n v="2"/>
    <n v="3"/>
    <n v="2"/>
    <n v="2"/>
    <n v="2"/>
  </r>
  <r>
    <s v="No"/>
    <s v="Travel_Rarely"/>
    <x v="2"/>
    <s v="Current Employees"/>
    <x v="1"/>
    <x v="2"/>
    <x v="324"/>
    <x v="324"/>
    <x v="0"/>
    <x v="1"/>
    <x v="1"/>
    <s v="No"/>
    <s v="Y"/>
    <n v="2"/>
    <n v="-2"/>
    <n v="0"/>
    <n v="30"/>
    <n v="0"/>
    <m/>
    <n v="0"/>
    <n v="1"/>
    <n v="1275"/>
    <n v="28"/>
    <x v="0"/>
    <n v="1"/>
    <n v="4"/>
    <n v="64"/>
    <n v="3"/>
    <n v="2"/>
    <n v="4"/>
    <n v="5775"/>
    <n v="11934"/>
    <n v="1"/>
    <n v="13"/>
    <n v="3"/>
    <n v="4"/>
    <n v="80"/>
    <n v="2"/>
    <n v="11"/>
    <n v="3"/>
    <n v="10"/>
    <n v="8"/>
    <n v="1"/>
    <n v="9"/>
  </r>
  <r>
    <s v="No"/>
    <s v="Travel_Frequently"/>
    <x v="2"/>
    <s v="Current Employees"/>
    <x v="1"/>
    <x v="0"/>
    <x v="325"/>
    <x v="325"/>
    <x v="0"/>
    <x v="3"/>
    <x v="1"/>
    <s v="No"/>
    <s v="Y"/>
    <n v="2"/>
    <n v="-2"/>
    <n v="0"/>
    <n v="31"/>
    <n v="0"/>
    <m/>
    <n v="0"/>
    <n v="1"/>
    <n v="798"/>
    <n v="7"/>
    <x v="0"/>
    <n v="1"/>
    <n v="3"/>
    <n v="48"/>
    <n v="2"/>
    <n v="3"/>
    <n v="2"/>
    <n v="8943"/>
    <n v="14034"/>
    <n v="1"/>
    <n v="24"/>
    <n v="4"/>
    <n v="1"/>
    <n v="80"/>
    <n v="1"/>
    <n v="10"/>
    <n v="3"/>
    <n v="10"/>
    <n v="9"/>
    <n v="8"/>
    <n v="9"/>
  </r>
  <r>
    <s v="No"/>
    <s v="Travel_Frequently"/>
    <x v="0"/>
    <s v="Current Employees"/>
    <x v="1"/>
    <x v="2"/>
    <x v="326"/>
    <x v="326"/>
    <x v="1"/>
    <x v="5"/>
    <x v="1"/>
    <s v="No"/>
    <s v="Y"/>
    <n v="2"/>
    <n v="-2"/>
    <n v="0"/>
    <n v="39"/>
    <n v="0"/>
    <m/>
    <n v="0"/>
    <n v="1"/>
    <n v="672"/>
    <n v="7"/>
    <x v="0"/>
    <n v="1"/>
    <n v="3"/>
    <n v="54"/>
    <n v="2"/>
    <n v="5"/>
    <n v="4"/>
    <n v="19272"/>
    <n v="21141"/>
    <n v="1"/>
    <n v="15"/>
    <n v="3"/>
    <n v="1"/>
    <n v="80"/>
    <n v="1"/>
    <n v="21"/>
    <n v="3"/>
    <n v="21"/>
    <n v="9"/>
    <n v="13"/>
    <n v="3"/>
  </r>
  <r>
    <s v="Yes"/>
    <s v="Travel_Rarely"/>
    <x v="0"/>
    <s v="Ex-Employees"/>
    <x v="0"/>
    <x v="2"/>
    <x v="327"/>
    <x v="327"/>
    <x v="0"/>
    <x v="0"/>
    <x v="1"/>
    <s v="Yes"/>
    <s v="Y"/>
    <n v="3"/>
    <n v="-2"/>
    <n v="0"/>
    <n v="39"/>
    <n v="1"/>
    <n v="1"/>
    <n v="1"/>
    <n v="0"/>
    <n v="1162"/>
    <n v="3"/>
    <x v="0"/>
    <n v="1"/>
    <n v="4"/>
    <n v="41"/>
    <n v="3"/>
    <n v="2"/>
    <n v="3"/>
    <n v="5238"/>
    <n v="17778"/>
    <n v="4"/>
    <n v="18"/>
    <n v="3"/>
    <n v="1"/>
    <n v="80"/>
    <n v="0"/>
    <n v="12"/>
    <n v="2"/>
    <n v="1"/>
    <n v="0"/>
    <n v="0"/>
    <n v="0"/>
  </r>
  <r>
    <s v="No"/>
    <s v="Travel_Frequently"/>
    <x v="2"/>
    <s v="Current Employees"/>
    <x v="0"/>
    <x v="3"/>
    <x v="328"/>
    <x v="328"/>
    <x v="1"/>
    <x v="0"/>
    <x v="0"/>
    <s v="No"/>
    <s v="Y"/>
    <n v="6"/>
    <n v="-2"/>
    <n v="0"/>
    <n v="33"/>
    <n v="0"/>
    <m/>
    <n v="0"/>
    <n v="1"/>
    <n v="508"/>
    <n v="10"/>
    <x v="3"/>
    <n v="1"/>
    <n v="2"/>
    <n v="46"/>
    <n v="2"/>
    <n v="2"/>
    <n v="1"/>
    <n v="4682"/>
    <n v="4317"/>
    <n v="3"/>
    <n v="14"/>
    <n v="3"/>
    <n v="3"/>
    <n v="80"/>
    <n v="0"/>
    <n v="9"/>
    <n v="2"/>
    <n v="7"/>
    <n v="7"/>
    <n v="0"/>
    <n v="1"/>
  </r>
  <r>
    <s v="No"/>
    <s v="Travel_Rarely"/>
    <x v="1"/>
    <s v="Current Employees"/>
    <x v="1"/>
    <x v="0"/>
    <x v="329"/>
    <x v="329"/>
    <x v="1"/>
    <x v="7"/>
    <x v="1"/>
    <s v="No"/>
    <s v="Y"/>
    <n v="2"/>
    <n v="-2"/>
    <n v="0"/>
    <n v="47"/>
    <n v="0"/>
    <m/>
    <n v="0"/>
    <n v="1"/>
    <n v="1482"/>
    <n v="5"/>
    <x v="4"/>
    <n v="1"/>
    <n v="4"/>
    <n v="42"/>
    <n v="3"/>
    <n v="5"/>
    <n v="2"/>
    <n v="18300"/>
    <n v="16375"/>
    <n v="4"/>
    <n v="11"/>
    <n v="3"/>
    <n v="2"/>
    <n v="80"/>
    <n v="1"/>
    <n v="21"/>
    <n v="3"/>
    <n v="3"/>
    <n v="2"/>
    <n v="1"/>
    <n v="1"/>
  </r>
  <r>
    <s v="No"/>
    <s v="Travel_Frequently"/>
    <x v="0"/>
    <s v="Current Employees"/>
    <x v="1"/>
    <x v="0"/>
    <x v="330"/>
    <x v="330"/>
    <x v="0"/>
    <x v="2"/>
    <x v="2"/>
    <s v="No"/>
    <s v="Y"/>
    <n v="3"/>
    <n v="-2"/>
    <n v="0"/>
    <n v="43"/>
    <n v="0"/>
    <m/>
    <n v="0"/>
    <n v="1"/>
    <n v="559"/>
    <n v="10"/>
    <x v="2"/>
    <n v="1"/>
    <n v="3"/>
    <n v="82"/>
    <n v="2"/>
    <n v="2"/>
    <n v="2"/>
    <n v="5257"/>
    <n v="6227"/>
    <n v="1"/>
    <n v="11"/>
    <n v="3"/>
    <n v="2"/>
    <n v="80"/>
    <n v="1"/>
    <n v="9"/>
    <n v="4"/>
    <n v="9"/>
    <n v="7"/>
    <n v="0"/>
    <n v="0"/>
  </r>
  <r>
    <s v="No"/>
    <s v="Non-Travel"/>
    <x v="2"/>
    <s v="Current Employees"/>
    <x v="0"/>
    <x v="3"/>
    <x v="331"/>
    <x v="331"/>
    <x v="1"/>
    <x v="0"/>
    <x v="1"/>
    <s v="Yes"/>
    <s v="Y"/>
    <n v="0"/>
    <n v="-2"/>
    <n v="0"/>
    <n v="27"/>
    <n v="0"/>
    <m/>
    <n v="0"/>
    <n v="1"/>
    <n v="210"/>
    <n v="1"/>
    <x v="1"/>
    <n v="1"/>
    <n v="3"/>
    <n v="73"/>
    <n v="3"/>
    <n v="2"/>
    <n v="1"/>
    <n v="6349"/>
    <n v="22107"/>
    <n v="0"/>
    <n v="13"/>
    <n v="3"/>
    <n v="4"/>
    <n v="80"/>
    <n v="1"/>
    <n v="6"/>
    <n v="3"/>
    <n v="5"/>
    <n v="4"/>
    <n v="1"/>
    <n v="4"/>
  </r>
  <r>
    <s v="No"/>
    <s v="Travel_Frequently"/>
    <x v="1"/>
    <s v="Current Employees"/>
    <x v="1"/>
    <x v="0"/>
    <x v="332"/>
    <x v="332"/>
    <x v="0"/>
    <x v="1"/>
    <x v="0"/>
    <s v="No"/>
    <s v="Y"/>
    <n v="4"/>
    <n v="-2"/>
    <n v="0"/>
    <n v="54"/>
    <n v="0"/>
    <m/>
    <n v="0"/>
    <n v="1"/>
    <n v="928"/>
    <n v="20"/>
    <x v="2"/>
    <n v="1"/>
    <n v="4"/>
    <n v="31"/>
    <n v="3"/>
    <n v="2"/>
    <n v="2"/>
    <n v="4869"/>
    <n v="16885"/>
    <n v="3"/>
    <n v="12"/>
    <n v="3"/>
    <n v="4"/>
    <n v="80"/>
    <n v="0"/>
    <n v="20"/>
    <n v="2"/>
    <n v="4"/>
    <n v="3"/>
    <n v="0"/>
    <n v="3"/>
  </r>
  <r>
    <s v="No"/>
    <s v="Travel_Rarely"/>
    <x v="0"/>
    <s v="Current Employees"/>
    <x v="1"/>
    <x v="0"/>
    <x v="333"/>
    <x v="333"/>
    <x v="0"/>
    <x v="4"/>
    <x v="1"/>
    <s v="No"/>
    <s v="Y"/>
    <n v="1"/>
    <n v="-2"/>
    <n v="0"/>
    <n v="43"/>
    <n v="0"/>
    <m/>
    <n v="0"/>
    <n v="1"/>
    <n v="1001"/>
    <n v="7"/>
    <x v="3"/>
    <n v="1"/>
    <n v="3"/>
    <n v="43"/>
    <n v="3"/>
    <n v="3"/>
    <n v="2"/>
    <n v="9985"/>
    <n v="9262"/>
    <n v="8"/>
    <n v="16"/>
    <n v="3"/>
    <n v="1"/>
    <n v="80"/>
    <n v="1"/>
    <n v="10"/>
    <n v="2"/>
    <n v="1"/>
    <n v="0"/>
    <n v="0"/>
    <n v="0"/>
  </r>
  <r>
    <s v="No"/>
    <s v="Travel_Rarely"/>
    <x v="1"/>
    <s v="Current Employees"/>
    <x v="1"/>
    <x v="1"/>
    <x v="334"/>
    <x v="334"/>
    <x v="1"/>
    <x v="1"/>
    <x v="1"/>
    <s v="No"/>
    <s v="Y"/>
    <n v="3"/>
    <n v="-2"/>
    <n v="0"/>
    <n v="45"/>
    <n v="0"/>
    <m/>
    <n v="0"/>
    <n v="1"/>
    <n v="549"/>
    <n v="8"/>
    <x v="2"/>
    <n v="1"/>
    <n v="4"/>
    <n v="75"/>
    <n v="3"/>
    <n v="2"/>
    <n v="4"/>
    <n v="3697"/>
    <n v="9278"/>
    <n v="9"/>
    <n v="14"/>
    <n v="3"/>
    <n v="1"/>
    <n v="80"/>
    <n v="2"/>
    <n v="12"/>
    <n v="3"/>
    <n v="10"/>
    <n v="9"/>
    <n v="9"/>
    <n v="8"/>
  </r>
  <r>
    <s v="No"/>
    <s v="Travel_Rarely"/>
    <x v="0"/>
    <s v="Current Employees"/>
    <x v="0"/>
    <x v="2"/>
    <x v="335"/>
    <x v="335"/>
    <x v="1"/>
    <x v="0"/>
    <x v="1"/>
    <s v="Yes"/>
    <s v="Y"/>
    <n v="2"/>
    <n v="-2"/>
    <n v="0"/>
    <n v="40"/>
    <n v="0"/>
    <m/>
    <n v="0"/>
    <n v="1"/>
    <n v="1124"/>
    <n v="1"/>
    <x v="0"/>
    <n v="1"/>
    <n v="2"/>
    <n v="57"/>
    <n v="1"/>
    <n v="2"/>
    <n v="4"/>
    <n v="7457"/>
    <n v="13273"/>
    <n v="2"/>
    <n v="22"/>
    <n v="4"/>
    <n v="3"/>
    <n v="80"/>
    <n v="3"/>
    <n v="6"/>
    <n v="2"/>
    <n v="4"/>
    <n v="3"/>
    <n v="0"/>
    <n v="2"/>
  </r>
  <r>
    <s v="Yes"/>
    <s v="Travel_Rarely"/>
    <x v="2"/>
    <s v="Ex-Employees"/>
    <x v="1"/>
    <x v="1"/>
    <x v="336"/>
    <x v="336"/>
    <x v="1"/>
    <x v="2"/>
    <x v="1"/>
    <s v="Yes"/>
    <s v="Y"/>
    <n v="4"/>
    <n v="-2"/>
    <n v="0"/>
    <n v="29"/>
    <n v="1"/>
    <n v="1"/>
    <n v="1"/>
    <n v="0"/>
    <n v="318"/>
    <n v="8"/>
    <x v="2"/>
    <n v="1"/>
    <n v="2"/>
    <n v="77"/>
    <n v="1"/>
    <n v="1"/>
    <n v="3"/>
    <n v="2119"/>
    <n v="4759"/>
    <n v="1"/>
    <n v="11"/>
    <n v="3"/>
    <n v="4"/>
    <n v="80"/>
    <n v="0"/>
    <n v="7"/>
    <n v="2"/>
    <n v="7"/>
    <n v="7"/>
    <n v="0"/>
    <n v="7"/>
  </r>
  <r>
    <s v="No"/>
    <s v="Travel_Rarely"/>
    <x v="2"/>
    <s v="Current Employees"/>
    <x v="1"/>
    <x v="1"/>
    <x v="337"/>
    <x v="337"/>
    <x v="1"/>
    <x v="2"/>
    <x v="0"/>
    <s v="No"/>
    <s v="Y"/>
    <n v="2"/>
    <n v="-2"/>
    <n v="0"/>
    <n v="29"/>
    <n v="0"/>
    <m/>
    <n v="0"/>
    <n v="1"/>
    <n v="738"/>
    <n v="9"/>
    <x v="4"/>
    <n v="1"/>
    <n v="2"/>
    <n v="30"/>
    <n v="2"/>
    <n v="1"/>
    <n v="4"/>
    <n v="3983"/>
    <n v="7621"/>
    <n v="0"/>
    <n v="17"/>
    <n v="3"/>
    <n v="3"/>
    <n v="80"/>
    <n v="0"/>
    <n v="4"/>
    <n v="3"/>
    <n v="3"/>
    <n v="2"/>
    <n v="2"/>
    <n v="2"/>
  </r>
  <r>
    <s v="No"/>
    <s v="Travel_Rarely"/>
    <x v="2"/>
    <s v="Current Employees"/>
    <x v="0"/>
    <x v="3"/>
    <x v="338"/>
    <x v="338"/>
    <x v="0"/>
    <x v="0"/>
    <x v="2"/>
    <s v="No"/>
    <s v="Y"/>
    <n v="2"/>
    <n v="-2"/>
    <n v="0"/>
    <n v="30"/>
    <n v="0"/>
    <m/>
    <n v="0"/>
    <n v="1"/>
    <n v="570"/>
    <n v="5"/>
    <x v="3"/>
    <n v="1"/>
    <n v="4"/>
    <n v="30"/>
    <n v="2"/>
    <n v="2"/>
    <n v="1"/>
    <n v="6118"/>
    <n v="5431"/>
    <n v="1"/>
    <n v="13"/>
    <n v="3"/>
    <n v="3"/>
    <n v="80"/>
    <n v="3"/>
    <n v="10"/>
    <n v="3"/>
    <n v="10"/>
    <n v="9"/>
    <n v="1"/>
    <n v="2"/>
  </r>
  <r>
    <s v="No"/>
    <s v="Travel_Rarely"/>
    <x v="2"/>
    <s v="Current Employees"/>
    <x v="0"/>
    <x v="3"/>
    <x v="339"/>
    <x v="339"/>
    <x v="0"/>
    <x v="0"/>
    <x v="1"/>
    <s v="No"/>
    <s v="Y"/>
    <n v="3"/>
    <n v="-2"/>
    <n v="0"/>
    <n v="27"/>
    <n v="0"/>
    <m/>
    <n v="0"/>
    <n v="1"/>
    <n v="1130"/>
    <n v="8"/>
    <x v="2"/>
    <n v="1"/>
    <n v="2"/>
    <n v="56"/>
    <n v="3"/>
    <n v="2"/>
    <n v="1"/>
    <n v="6214"/>
    <n v="3415"/>
    <n v="1"/>
    <n v="18"/>
    <n v="3"/>
    <n v="1"/>
    <n v="80"/>
    <n v="1"/>
    <n v="8"/>
    <n v="3"/>
    <n v="8"/>
    <n v="7"/>
    <n v="0"/>
    <n v="7"/>
  </r>
  <r>
    <s v="No"/>
    <s v="Travel_Rarely"/>
    <x v="0"/>
    <s v="Current Employees"/>
    <x v="1"/>
    <x v="2"/>
    <x v="340"/>
    <x v="340"/>
    <x v="1"/>
    <x v="3"/>
    <x v="2"/>
    <s v="No"/>
    <s v="Y"/>
    <n v="2"/>
    <n v="-2"/>
    <n v="0"/>
    <n v="37"/>
    <n v="0"/>
    <m/>
    <n v="0"/>
    <n v="1"/>
    <n v="1192"/>
    <n v="5"/>
    <x v="0"/>
    <n v="1"/>
    <n v="4"/>
    <n v="61"/>
    <n v="3"/>
    <n v="2"/>
    <n v="4"/>
    <n v="6347"/>
    <n v="23177"/>
    <n v="7"/>
    <n v="16"/>
    <n v="3"/>
    <n v="3"/>
    <n v="80"/>
    <n v="2"/>
    <n v="8"/>
    <n v="2"/>
    <n v="6"/>
    <n v="2"/>
    <n v="0"/>
    <n v="4"/>
  </r>
  <r>
    <s v="No"/>
    <s v="Travel_Rarely"/>
    <x v="0"/>
    <s v="Current Employees"/>
    <x v="1"/>
    <x v="0"/>
    <x v="341"/>
    <x v="341"/>
    <x v="1"/>
    <x v="7"/>
    <x v="2"/>
    <s v="Yes"/>
    <s v="Y"/>
    <n v="3"/>
    <n v="-2"/>
    <n v="0"/>
    <n v="38"/>
    <n v="0"/>
    <m/>
    <n v="0"/>
    <n v="1"/>
    <n v="343"/>
    <n v="15"/>
    <x v="0"/>
    <n v="1"/>
    <n v="3"/>
    <n v="92"/>
    <n v="2"/>
    <n v="3"/>
    <n v="2"/>
    <n v="11510"/>
    <n v="15682"/>
    <n v="0"/>
    <n v="14"/>
    <n v="3"/>
    <n v="2"/>
    <n v="80"/>
    <n v="1"/>
    <n v="12"/>
    <n v="3"/>
    <n v="11"/>
    <n v="10"/>
    <n v="2"/>
    <n v="9"/>
  </r>
  <r>
    <s v="No"/>
    <s v="Travel_Rarely"/>
    <x v="2"/>
    <s v="Current Employees"/>
    <x v="1"/>
    <x v="2"/>
    <x v="342"/>
    <x v="342"/>
    <x v="0"/>
    <x v="3"/>
    <x v="0"/>
    <s v="Yes"/>
    <s v="Y"/>
    <n v="2"/>
    <n v="-2"/>
    <n v="0"/>
    <n v="31"/>
    <n v="0"/>
    <m/>
    <n v="0"/>
    <n v="1"/>
    <n v="1232"/>
    <n v="7"/>
    <x v="2"/>
    <n v="1"/>
    <n v="3"/>
    <n v="39"/>
    <n v="3"/>
    <n v="3"/>
    <n v="4"/>
    <n v="7143"/>
    <n v="25713"/>
    <n v="1"/>
    <n v="14"/>
    <n v="3"/>
    <n v="3"/>
    <n v="80"/>
    <n v="0"/>
    <n v="11"/>
    <n v="2"/>
    <n v="11"/>
    <n v="9"/>
    <n v="4"/>
    <n v="10"/>
  </r>
  <r>
    <s v="No"/>
    <s v="Travel_Rarely"/>
    <x v="2"/>
    <s v="Current Employees"/>
    <x v="0"/>
    <x v="3"/>
    <x v="343"/>
    <x v="343"/>
    <x v="0"/>
    <x v="0"/>
    <x v="2"/>
    <s v="Yes"/>
    <s v="Y"/>
    <n v="2"/>
    <n v="-2"/>
    <n v="0"/>
    <n v="29"/>
    <n v="0"/>
    <m/>
    <n v="0"/>
    <n v="1"/>
    <n v="144"/>
    <n v="10"/>
    <x v="1"/>
    <n v="1"/>
    <n v="4"/>
    <n v="39"/>
    <n v="2"/>
    <n v="2"/>
    <n v="1"/>
    <n v="8268"/>
    <n v="11866"/>
    <n v="1"/>
    <n v="14"/>
    <n v="3"/>
    <n v="1"/>
    <n v="80"/>
    <n v="2"/>
    <n v="7"/>
    <n v="3"/>
    <n v="7"/>
    <n v="7"/>
    <n v="1"/>
    <n v="7"/>
  </r>
  <r>
    <s v="No"/>
    <s v="Travel_Rarely"/>
    <x v="0"/>
    <s v="Current Employees"/>
    <x v="1"/>
    <x v="4"/>
    <x v="344"/>
    <x v="344"/>
    <x v="1"/>
    <x v="3"/>
    <x v="0"/>
    <s v="No"/>
    <s v="Y"/>
    <n v="5"/>
    <n v="-2"/>
    <n v="0"/>
    <n v="35"/>
    <n v="0"/>
    <m/>
    <n v="0"/>
    <n v="1"/>
    <n v="1296"/>
    <n v="5"/>
    <x v="2"/>
    <n v="1"/>
    <n v="4"/>
    <n v="62"/>
    <n v="3"/>
    <n v="3"/>
    <n v="4"/>
    <n v="8095"/>
    <n v="18264"/>
    <n v="0"/>
    <n v="13"/>
    <n v="3"/>
    <n v="4"/>
    <n v="80"/>
    <n v="0"/>
    <n v="17"/>
    <n v="3"/>
    <n v="16"/>
    <n v="6"/>
    <n v="0"/>
    <n v="13"/>
  </r>
  <r>
    <s v="No"/>
    <s v="Travel_Rarely"/>
    <x v="4"/>
    <s v="Current Employees"/>
    <x v="1"/>
    <x v="0"/>
    <x v="345"/>
    <x v="345"/>
    <x v="1"/>
    <x v="1"/>
    <x v="2"/>
    <s v="No"/>
    <s v="Y"/>
    <n v="2"/>
    <n v="-2"/>
    <n v="0"/>
    <n v="23"/>
    <n v="0"/>
    <m/>
    <n v="0"/>
    <n v="1"/>
    <n v="1309"/>
    <n v="26"/>
    <x v="1"/>
    <n v="1"/>
    <n v="3"/>
    <n v="83"/>
    <n v="3"/>
    <n v="1"/>
    <n v="2"/>
    <n v="2904"/>
    <n v="16092"/>
    <n v="1"/>
    <n v="12"/>
    <n v="3"/>
    <n v="3"/>
    <n v="80"/>
    <n v="2"/>
    <n v="4"/>
    <n v="2"/>
    <n v="4"/>
    <n v="2"/>
    <n v="0"/>
    <n v="2"/>
  </r>
  <r>
    <s v="No"/>
    <s v="Travel_Rarely"/>
    <x v="0"/>
    <s v="Current Employees"/>
    <x v="1"/>
    <x v="2"/>
    <x v="346"/>
    <x v="346"/>
    <x v="1"/>
    <x v="3"/>
    <x v="0"/>
    <s v="Yes"/>
    <s v="Y"/>
    <n v="3"/>
    <n v="-2"/>
    <n v="0"/>
    <n v="41"/>
    <n v="0"/>
    <m/>
    <n v="0"/>
    <n v="1"/>
    <n v="483"/>
    <n v="6"/>
    <x v="3"/>
    <n v="1"/>
    <n v="4"/>
    <n v="95"/>
    <n v="2"/>
    <n v="2"/>
    <n v="3"/>
    <n v="6032"/>
    <n v="10110"/>
    <n v="6"/>
    <n v="15"/>
    <n v="3"/>
    <n v="4"/>
    <n v="80"/>
    <n v="0"/>
    <n v="8"/>
    <n v="3"/>
    <n v="5"/>
    <n v="4"/>
    <n v="1"/>
    <n v="2"/>
  </r>
  <r>
    <s v="No"/>
    <s v="Travel_Frequently"/>
    <x v="1"/>
    <s v="Current Employees"/>
    <x v="0"/>
    <x v="2"/>
    <x v="347"/>
    <x v="347"/>
    <x v="1"/>
    <x v="6"/>
    <x v="0"/>
    <s v="No"/>
    <s v="Y"/>
    <n v="3"/>
    <n v="-2"/>
    <n v="0"/>
    <n v="47"/>
    <n v="0"/>
    <m/>
    <n v="0"/>
    <n v="1"/>
    <n v="1309"/>
    <n v="4"/>
    <x v="1"/>
    <n v="1"/>
    <n v="2"/>
    <n v="99"/>
    <n v="3"/>
    <n v="2"/>
    <n v="3"/>
    <n v="2976"/>
    <n v="25751"/>
    <n v="3"/>
    <n v="19"/>
    <n v="3"/>
    <n v="1"/>
    <n v="80"/>
    <n v="0"/>
    <n v="5"/>
    <n v="3"/>
    <n v="0"/>
    <n v="0"/>
    <n v="0"/>
    <n v="0"/>
  </r>
  <r>
    <s v="No"/>
    <s v="Travel_Rarely"/>
    <x v="0"/>
    <s v="Current Employees"/>
    <x v="1"/>
    <x v="0"/>
    <x v="348"/>
    <x v="348"/>
    <x v="0"/>
    <x v="7"/>
    <x v="0"/>
    <s v="No"/>
    <s v="Y"/>
    <n v="2"/>
    <n v="-2"/>
    <n v="0"/>
    <n v="42"/>
    <n v="0"/>
    <m/>
    <n v="0"/>
    <n v="1"/>
    <n v="810"/>
    <n v="23"/>
    <x v="4"/>
    <n v="1"/>
    <n v="1"/>
    <n v="44"/>
    <n v="3"/>
    <n v="4"/>
    <n v="2"/>
    <n v="15992"/>
    <n v="15901"/>
    <n v="2"/>
    <n v="14"/>
    <n v="3"/>
    <n v="2"/>
    <n v="80"/>
    <n v="0"/>
    <n v="16"/>
    <n v="3"/>
    <n v="1"/>
    <n v="0"/>
    <n v="0"/>
    <n v="0"/>
  </r>
  <r>
    <s v="No"/>
    <s v="Non-Travel"/>
    <x v="2"/>
    <s v="Current Employees"/>
    <x v="0"/>
    <x v="0"/>
    <x v="349"/>
    <x v="349"/>
    <x v="1"/>
    <x v="0"/>
    <x v="1"/>
    <s v="No"/>
    <s v="Y"/>
    <n v="3"/>
    <n v="-2"/>
    <n v="0"/>
    <n v="29"/>
    <n v="0"/>
    <m/>
    <n v="0"/>
    <n v="1"/>
    <n v="746"/>
    <n v="2"/>
    <x v="3"/>
    <n v="1"/>
    <n v="4"/>
    <n v="61"/>
    <n v="3"/>
    <n v="2"/>
    <n v="2"/>
    <n v="4649"/>
    <n v="16928"/>
    <n v="1"/>
    <n v="14"/>
    <n v="3"/>
    <n v="1"/>
    <n v="80"/>
    <n v="1"/>
    <n v="4"/>
    <n v="2"/>
    <n v="4"/>
    <n v="3"/>
    <n v="0"/>
    <n v="2"/>
  </r>
  <r>
    <s v="No"/>
    <s v="Travel_Rarely"/>
    <x v="0"/>
    <s v="Current Employees"/>
    <x v="2"/>
    <x v="4"/>
    <x v="350"/>
    <x v="350"/>
    <x v="1"/>
    <x v="8"/>
    <x v="2"/>
    <s v="Yes"/>
    <s v="Y"/>
    <n v="5"/>
    <n v="-2"/>
    <n v="0"/>
    <n v="42"/>
    <n v="0"/>
    <m/>
    <n v="0"/>
    <n v="1"/>
    <n v="544"/>
    <n v="2"/>
    <x v="1"/>
    <n v="1"/>
    <n v="4"/>
    <n v="52"/>
    <n v="3"/>
    <n v="1"/>
    <n v="4"/>
    <n v="2696"/>
    <n v="24017"/>
    <n v="0"/>
    <n v="11"/>
    <n v="3"/>
    <n v="3"/>
    <n v="80"/>
    <n v="1"/>
    <n v="4"/>
    <n v="3"/>
    <n v="3"/>
    <n v="2"/>
    <n v="1"/>
    <n v="0"/>
  </r>
  <r>
    <s v="No"/>
    <s v="Travel_Rarely"/>
    <x v="2"/>
    <s v="Current Employees"/>
    <x v="1"/>
    <x v="2"/>
    <x v="351"/>
    <x v="351"/>
    <x v="0"/>
    <x v="2"/>
    <x v="1"/>
    <s v="No"/>
    <s v="Y"/>
    <n v="4"/>
    <n v="-2"/>
    <n v="0"/>
    <n v="32"/>
    <n v="0"/>
    <m/>
    <n v="0"/>
    <n v="1"/>
    <n v="1062"/>
    <n v="2"/>
    <x v="3"/>
    <n v="1"/>
    <n v="3"/>
    <n v="75"/>
    <n v="3"/>
    <n v="1"/>
    <n v="3"/>
    <n v="2370"/>
    <n v="3956"/>
    <n v="1"/>
    <n v="13"/>
    <n v="3"/>
    <n v="3"/>
    <n v="80"/>
    <n v="1"/>
    <n v="8"/>
    <n v="3"/>
    <n v="8"/>
    <n v="0"/>
    <n v="0"/>
    <n v="7"/>
  </r>
  <r>
    <s v="No"/>
    <s v="Travel_Rarely"/>
    <x v="1"/>
    <s v="Current Employees"/>
    <x v="0"/>
    <x v="2"/>
    <x v="352"/>
    <x v="352"/>
    <x v="0"/>
    <x v="5"/>
    <x v="1"/>
    <s v="No"/>
    <s v="Y"/>
    <n v="3"/>
    <n v="-2"/>
    <n v="0"/>
    <n v="48"/>
    <n v="0"/>
    <m/>
    <n v="0"/>
    <n v="1"/>
    <n v="530"/>
    <n v="29"/>
    <x v="1"/>
    <n v="1"/>
    <n v="1"/>
    <n v="91"/>
    <n v="3"/>
    <n v="3"/>
    <n v="3"/>
    <n v="12504"/>
    <n v="23978"/>
    <n v="3"/>
    <n v="21"/>
    <n v="4"/>
    <n v="2"/>
    <n v="80"/>
    <n v="1"/>
    <n v="15"/>
    <n v="1"/>
    <n v="0"/>
    <n v="0"/>
    <n v="0"/>
    <n v="0"/>
  </r>
  <r>
    <s v="No"/>
    <s v="Travel_Rarely"/>
    <x v="0"/>
    <s v="Current Employees"/>
    <x v="1"/>
    <x v="2"/>
    <x v="353"/>
    <x v="353"/>
    <x v="1"/>
    <x v="1"/>
    <x v="2"/>
    <s v="Yes"/>
    <s v="Y"/>
    <n v="2"/>
    <n v="-2"/>
    <n v="0"/>
    <n v="37"/>
    <n v="0"/>
    <m/>
    <n v="0"/>
    <n v="1"/>
    <n v="1319"/>
    <n v="6"/>
    <x v="3"/>
    <n v="1"/>
    <n v="3"/>
    <n v="51"/>
    <n v="4"/>
    <n v="2"/>
    <n v="3"/>
    <n v="5974"/>
    <n v="17001"/>
    <n v="4"/>
    <n v="13"/>
    <n v="3"/>
    <n v="1"/>
    <n v="80"/>
    <n v="2"/>
    <n v="13"/>
    <n v="3"/>
    <n v="7"/>
    <n v="7"/>
    <n v="6"/>
    <n v="7"/>
  </r>
  <r>
    <s v="No"/>
    <s v="Non-Travel"/>
    <x v="2"/>
    <s v="Current Employees"/>
    <x v="0"/>
    <x v="4"/>
    <x v="354"/>
    <x v="354"/>
    <x v="0"/>
    <x v="0"/>
    <x v="1"/>
    <s v="Yes"/>
    <s v="Y"/>
    <n v="2"/>
    <n v="-2"/>
    <n v="0"/>
    <n v="30"/>
    <n v="0"/>
    <m/>
    <n v="0"/>
    <n v="1"/>
    <n v="641"/>
    <n v="25"/>
    <x v="0"/>
    <n v="1"/>
    <n v="4"/>
    <n v="85"/>
    <n v="3"/>
    <n v="2"/>
    <n v="4"/>
    <n v="4736"/>
    <n v="6069"/>
    <n v="7"/>
    <n v="12"/>
    <n v="3"/>
    <n v="2"/>
    <n v="80"/>
    <n v="1"/>
    <n v="4"/>
    <n v="4"/>
    <n v="2"/>
    <n v="2"/>
    <n v="2"/>
    <n v="2"/>
  </r>
  <r>
    <s v="No"/>
    <s v="Travel_Rarely"/>
    <x v="2"/>
    <s v="Current Employees"/>
    <x v="0"/>
    <x v="0"/>
    <x v="355"/>
    <x v="355"/>
    <x v="1"/>
    <x v="0"/>
    <x v="1"/>
    <s v="No"/>
    <s v="Y"/>
    <n v="3"/>
    <n v="-2"/>
    <n v="0"/>
    <n v="26"/>
    <n v="0"/>
    <m/>
    <n v="0"/>
    <n v="1"/>
    <n v="933"/>
    <n v="1"/>
    <x v="3"/>
    <n v="1"/>
    <n v="3"/>
    <n v="57"/>
    <n v="3"/>
    <n v="2"/>
    <n v="2"/>
    <n v="5296"/>
    <n v="20156"/>
    <n v="1"/>
    <n v="17"/>
    <n v="3"/>
    <n v="2"/>
    <n v="80"/>
    <n v="1"/>
    <n v="8"/>
    <n v="3"/>
    <n v="8"/>
    <n v="7"/>
    <n v="7"/>
    <n v="7"/>
  </r>
  <r>
    <s v="No"/>
    <s v="Travel_Rarely"/>
    <x v="0"/>
    <s v="Current Employees"/>
    <x v="1"/>
    <x v="1"/>
    <x v="356"/>
    <x v="356"/>
    <x v="1"/>
    <x v="4"/>
    <x v="0"/>
    <s v="No"/>
    <s v="Y"/>
    <n v="6"/>
    <n v="-2"/>
    <n v="0"/>
    <n v="42"/>
    <n v="0"/>
    <m/>
    <n v="0"/>
    <n v="1"/>
    <n v="1332"/>
    <n v="2"/>
    <x v="2"/>
    <n v="1"/>
    <n v="1"/>
    <n v="98"/>
    <n v="2"/>
    <n v="2"/>
    <n v="4"/>
    <n v="6781"/>
    <n v="17078"/>
    <n v="3"/>
    <n v="23"/>
    <n v="4"/>
    <n v="2"/>
    <n v="80"/>
    <n v="0"/>
    <n v="14"/>
    <n v="3"/>
    <n v="1"/>
    <n v="0"/>
    <n v="0"/>
    <n v="0"/>
  </r>
  <r>
    <s v="Yes"/>
    <s v="Travel_Frequently"/>
    <x v="4"/>
    <s v="Ex-Employees"/>
    <x v="0"/>
    <x v="4"/>
    <x v="357"/>
    <x v="357"/>
    <x v="0"/>
    <x v="6"/>
    <x v="0"/>
    <s v="Yes"/>
    <s v="Y"/>
    <n v="3"/>
    <n v="-2"/>
    <n v="0"/>
    <n v="21"/>
    <n v="1"/>
    <n v="1"/>
    <n v="1"/>
    <n v="0"/>
    <n v="756"/>
    <n v="1"/>
    <x v="1"/>
    <n v="1"/>
    <n v="4"/>
    <n v="99"/>
    <n v="2"/>
    <n v="1"/>
    <n v="4"/>
    <n v="2174"/>
    <n v="9150"/>
    <n v="1"/>
    <n v="11"/>
    <n v="3"/>
    <n v="3"/>
    <n v="80"/>
    <n v="0"/>
    <n v="3"/>
    <n v="3"/>
    <n v="3"/>
    <n v="2"/>
    <n v="1"/>
    <n v="2"/>
  </r>
  <r>
    <s v="No"/>
    <s v="Non-Travel"/>
    <x v="0"/>
    <s v="Current Employees"/>
    <x v="0"/>
    <x v="2"/>
    <x v="358"/>
    <x v="358"/>
    <x v="0"/>
    <x v="0"/>
    <x v="0"/>
    <s v="No"/>
    <s v="Y"/>
    <n v="6"/>
    <n v="-2"/>
    <n v="0"/>
    <n v="36"/>
    <n v="0"/>
    <m/>
    <n v="0"/>
    <n v="1"/>
    <n v="845"/>
    <n v="1"/>
    <x v="4"/>
    <n v="1"/>
    <n v="4"/>
    <n v="45"/>
    <n v="3"/>
    <n v="2"/>
    <n v="4"/>
    <n v="6653"/>
    <n v="15276"/>
    <n v="4"/>
    <n v="15"/>
    <n v="3"/>
    <n v="2"/>
    <n v="80"/>
    <n v="0"/>
    <n v="7"/>
    <n v="3"/>
    <n v="1"/>
    <n v="0"/>
    <n v="0"/>
    <n v="0"/>
  </r>
  <r>
    <s v="No"/>
    <s v="Travel_Frequently"/>
    <x v="0"/>
    <s v="Current Employees"/>
    <x v="0"/>
    <x v="2"/>
    <x v="359"/>
    <x v="359"/>
    <x v="1"/>
    <x v="0"/>
    <x v="1"/>
    <s v="No"/>
    <s v="Y"/>
    <n v="2"/>
    <n v="-2"/>
    <n v="0"/>
    <n v="36"/>
    <n v="0"/>
    <m/>
    <n v="0"/>
    <n v="1"/>
    <n v="541"/>
    <n v="3"/>
    <x v="2"/>
    <n v="1"/>
    <n v="1"/>
    <n v="48"/>
    <n v="2"/>
    <n v="3"/>
    <n v="4"/>
    <n v="9699"/>
    <n v="7246"/>
    <n v="4"/>
    <n v="11"/>
    <n v="3"/>
    <n v="1"/>
    <n v="80"/>
    <n v="1"/>
    <n v="16"/>
    <n v="3"/>
    <n v="13"/>
    <n v="9"/>
    <n v="1"/>
    <n v="12"/>
  </r>
  <r>
    <s v="No"/>
    <s v="Travel_Rarely"/>
    <x v="3"/>
    <s v="Current Employees"/>
    <x v="1"/>
    <x v="2"/>
    <x v="360"/>
    <x v="360"/>
    <x v="1"/>
    <x v="4"/>
    <x v="1"/>
    <s v="No"/>
    <s v="Y"/>
    <n v="2"/>
    <n v="-2"/>
    <n v="0"/>
    <n v="57"/>
    <n v="0"/>
    <m/>
    <n v="0"/>
    <n v="1"/>
    <n v="593"/>
    <n v="1"/>
    <x v="2"/>
    <n v="1"/>
    <n v="4"/>
    <n v="88"/>
    <n v="3"/>
    <n v="2"/>
    <n v="3"/>
    <n v="6755"/>
    <n v="2967"/>
    <n v="2"/>
    <n v="11"/>
    <n v="3"/>
    <n v="3"/>
    <n v="80"/>
    <n v="0"/>
    <n v="15"/>
    <n v="3"/>
    <n v="3"/>
    <n v="2"/>
    <n v="1"/>
    <n v="2"/>
  </r>
  <r>
    <s v="No"/>
    <s v="Travel_Rarely"/>
    <x v="0"/>
    <s v="Current Employees"/>
    <x v="1"/>
    <x v="0"/>
    <x v="361"/>
    <x v="361"/>
    <x v="0"/>
    <x v="2"/>
    <x v="1"/>
    <s v="Yes"/>
    <s v="Y"/>
    <n v="3"/>
    <n v="-2"/>
    <n v="0"/>
    <n v="40"/>
    <n v="0"/>
    <m/>
    <n v="0"/>
    <n v="1"/>
    <n v="1171"/>
    <n v="10"/>
    <x v="2"/>
    <n v="1"/>
    <n v="4"/>
    <n v="46"/>
    <n v="4"/>
    <n v="1"/>
    <n v="2"/>
    <n v="2213"/>
    <n v="22495"/>
    <n v="3"/>
    <n v="13"/>
    <n v="3"/>
    <n v="3"/>
    <n v="80"/>
    <n v="1"/>
    <n v="10"/>
    <n v="3"/>
    <n v="7"/>
    <n v="7"/>
    <n v="1"/>
    <n v="7"/>
  </r>
  <r>
    <s v="No"/>
    <s v="Non-Travel"/>
    <x v="4"/>
    <s v="Current Employees"/>
    <x v="0"/>
    <x v="2"/>
    <x v="362"/>
    <x v="362"/>
    <x v="1"/>
    <x v="6"/>
    <x v="0"/>
    <s v="No"/>
    <s v="Y"/>
    <n v="3"/>
    <n v="-2"/>
    <n v="0"/>
    <n v="21"/>
    <n v="0"/>
    <m/>
    <n v="0"/>
    <n v="1"/>
    <n v="895"/>
    <n v="9"/>
    <x v="0"/>
    <n v="1"/>
    <n v="1"/>
    <n v="39"/>
    <n v="3"/>
    <n v="1"/>
    <n v="4"/>
    <n v="2610"/>
    <n v="2851"/>
    <n v="1"/>
    <n v="24"/>
    <n v="4"/>
    <n v="3"/>
    <n v="80"/>
    <n v="0"/>
    <n v="3"/>
    <n v="2"/>
    <n v="3"/>
    <n v="2"/>
    <n v="2"/>
    <n v="2"/>
  </r>
  <r>
    <s v="Yes"/>
    <s v="Travel_Rarely"/>
    <x v="2"/>
    <s v="Ex-Employees"/>
    <x v="0"/>
    <x v="3"/>
    <x v="363"/>
    <x v="363"/>
    <x v="0"/>
    <x v="6"/>
    <x v="0"/>
    <s v="Yes"/>
    <s v="Y"/>
    <n v="2"/>
    <n v="-2"/>
    <n v="0"/>
    <n v="33"/>
    <n v="1"/>
    <n v="1"/>
    <n v="1"/>
    <n v="0"/>
    <n v="350"/>
    <n v="5"/>
    <x v="3"/>
    <n v="1"/>
    <n v="4"/>
    <n v="34"/>
    <n v="3"/>
    <n v="1"/>
    <n v="1"/>
    <n v="2851"/>
    <n v="9150"/>
    <n v="1"/>
    <n v="13"/>
    <n v="3"/>
    <n v="2"/>
    <n v="80"/>
    <n v="0"/>
    <n v="1"/>
    <n v="3"/>
    <n v="1"/>
    <n v="0"/>
    <n v="0"/>
    <n v="0"/>
  </r>
  <r>
    <s v="No"/>
    <s v="Travel_Rarely"/>
    <x v="0"/>
    <s v="Current Employees"/>
    <x v="1"/>
    <x v="2"/>
    <x v="364"/>
    <x v="364"/>
    <x v="0"/>
    <x v="2"/>
    <x v="1"/>
    <s v="No"/>
    <s v="Y"/>
    <n v="3"/>
    <n v="-2"/>
    <n v="0"/>
    <n v="37"/>
    <n v="0"/>
    <m/>
    <n v="0"/>
    <n v="1"/>
    <n v="921"/>
    <n v="10"/>
    <x v="3"/>
    <n v="1"/>
    <n v="3"/>
    <n v="98"/>
    <n v="3"/>
    <n v="1"/>
    <n v="3"/>
    <n v="3452"/>
    <n v="17663"/>
    <n v="6"/>
    <n v="20"/>
    <n v="4"/>
    <n v="2"/>
    <n v="80"/>
    <n v="1"/>
    <n v="17"/>
    <n v="3"/>
    <n v="5"/>
    <n v="4"/>
    <n v="0"/>
    <n v="3"/>
  </r>
  <r>
    <s v="No"/>
    <s v="Non-Travel"/>
    <x v="1"/>
    <s v="Current Employees"/>
    <x v="1"/>
    <x v="2"/>
    <x v="365"/>
    <x v="365"/>
    <x v="0"/>
    <x v="3"/>
    <x v="1"/>
    <s v="No"/>
    <s v="Y"/>
    <n v="2"/>
    <n v="-2"/>
    <n v="0"/>
    <n v="46"/>
    <n v="0"/>
    <m/>
    <n v="0"/>
    <n v="1"/>
    <n v="1144"/>
    <n v="7"/>
    <x v="2"/>
    <n v="1"/>
    <n v="3"/>
    <n v="30"/>
    <n v="3"/>
    <n v="2"/>
    <n v="3"/>
    <n v="5258"/>
    <n v="16044"/>
    <n v="2"/>
    <n v="14"/>
    <n v="3"/>
    <n v="3"/>
    <n v="80"/>
    <n v="0"/>
    <n v="7"/>
    <n v="4"/>
    <n v="1"/>
    <n v="0"/>
    <n v="0"/>
    <n v="0"/>
  </r>
  <r>
    <s v="Yes"/>
    <s v="Travel_Frequently"/>
    <x v="0"/>
    <s v="Ex-Employees"/>
    <x v="0"/>
    <x v="3"/>
    <x v="366"/>
    <x v="366"/>
    <x v="1"/>
    <x v="0"/>
    <x v="0"/>
    <s v="No"/>
    <s v="Y"/>
    <n v="5"/>
    <n v="-2"/>
    <n v="0"/>
    <n v="41"/>
    <n v="1"/>
    <n v="1"/>
    <n v="1"/>
    <n v="0"/>
    <n v="143"/>
    <n v="4"/>
    <x v="3"/>
    <n v="1"/>
    <n v="1"/>
    <n v="56"/>
    <n v="3"/>
    <n v="2"/>
    <n v="1"/>
    <n v="9355"/>
    <n v="9558"/>
    <n v="1"/>
    <n v="18"/>
    <n v="3"/>
    <n v="3"/>
    <n v="80"/>
    <n v="0"/>
    <n v="8"/>
    <n v="3"/>
    <n v="8"/>
    <n v="7"/>
    <n v="7"/>
    <n v="7"/>
  </r>
  <r>
    <s v="No"/>
    <s v="Travel_Rarely"/>
    <x v="1"/>
    <s v="Current Employees"/>
    <x v="1"/>
    <x v="4"/>
    <x v="367"/>
    <x v="367"/>
    <x v="1"/>
    <x v="4"/>
    <x v="0"/>
    <s v="No"/>
    <s v="Y"/>
    <n v="2"/>
    <n v="-2"/>
    <n v="0"/>
    <n v="50"/>
    <n v="0"/>
    <m/>
    <n v="0"/>
    <n v="1"/>
    <n v="1046"/>
    <n v="10"/>
    <x v="3"/>
    <n v="1"/>
    <n v="4"/>
    <n v="100"/>
    <n v="2"/>
    <n v="3"/>
    <n v="4"/>
    <n v="10496"/>
    <n v="2755"/>
    <n v="6"/>
    <n v="15"/>
    <n v="3"/>
    <n v="4"/>
    <n v="80"/>
    <n v="0"/>
    <n v="20"/>
    <n v="3"/>
    <n v="4"/>
    <n v="3"/>
    <n v="1"/>
    <n v="3"/>
  </r>
  <r>
    <s v="Yes"/>
    <s v="Travel_Rarely"/>
    <x v="0"/>
    <s v="Ex-Employees"/>
    <x v="0"/>
    <x v="3"/>
    <x v="368"/>
    <x v="368"/>
    <x v="1"/>
    <x v="0"/>
    <x v="1"/>
    <s v="Yes"/>
    <s v="Y"/>
    <n v="6"/>
    <n v="-2"/>
    <n v="0"/>
    <n v="40"/>
    <n v="1"/>
    <n v="1"/>
    <n v="1"/>
    <n v="0"/>
    <n v="575"/>
    <n v="22"/>
    <x v="0"/>
    <n v="1"/>
    <n v="3"/>
    <n v="68"/>
    <n v="2"/>
    <n v="2"/>
    <n v="1"/>
    <n v="6380"/>
    <n v="6110"/>
    <n v="2"/>
    <n v="12"/>
    <n v="3"/>
    <n v="1"/>
    <n v="80"/>
    <n v="2"/>
    <n v="8"/>
    <n v="3"/>
    <n v="6"/>
    <n v="4"/>
    <n v="1"/>
    <n v="0"/>
  </r>
  <r>
    <s v="No"/>
    <s v="Travel_Rarely"/>
    <x v="2"/>
    <s v="Current Employees"/>
    <x v="1"/>
    <x v="0"/>
    <x v="369"/>
    <x v="369"/>
    <x v="1"/>
    <x v="1"/>
    <x v="0"/>
    <s v="Yes"/>
    <s v="Y"/>
    <n v="5"/>
    <n v="-2"/>
    <n v="0"/>
    <n v="31"/>
    <n v="0"/>
    <m/>
    <n v="0"/>
    <n v="1"/>
    <n v="408"/>
    <n v="9"/>
    <x v="2"/>
    <n v="1"/>
    <n v="3"/>
    <n v="42"/>
    <n v="2"/>
    <n v="1"/>
    <n v="2"/>
    <n v="2657"/>
    <n v="7551"/>
    <n v="0"/>
    <n v="16"/>
    <n v="3"/>
    <n v="4"/>
    <n v="80"/>
    <n v="0"/>
    <n v="3"/>
    <n v="3"/>
    <n v="2"/>
    <n v="2"/>
    <n v="2"/>
    <n v="2"/>
  </r>
  <r>
    <s v="Yes"/>
    <s v="Travel_Rarely"/>
    <x v="4"/>
    <s v="Ex-Employees"/>
    <x v="0"/>
    <x v="0"/>
    <x v="370"/>
    <x v="370"/>
    <x v="0"/>
    <x v="6"/>
    <x v="0"/>
    <s v="No"/>
    <s v="Y"/>
    <n v="0"/>
    <n v="-2"/>
    <n v="0"/>
    <n v="21"/>
    <n v="1"/>
    <n v="1"/>
    <n v="1"/>
    <n v="0"/>
    <n v="156"/>
    <n v="12"/>
    <x v="3"/>
    <n v="1"/>
    <n v="3"/>
    <n v="90"/>
    <n v="4"/>
    <n v="1"/>
    <n v="2"/>
    <n v="2716"/>
    <n v="25422"/>
    <n v="1"/>
    <n v="15"/>
    <n v="3"/>
    <n v="4"/>
    <n v="80"/>
    <n v="0"/>
    <n v="1"/>
    <n v="3"/>
    <n v="1"/>
    <n v="0"/>
    <n v="0"/>
    <n v="0"/>
  </r>
  <r>
    <s v="No"/>
    <s v="Travel_Rarely"/>
    <x v="2"/>
    <s v="Current Employees"/>
    <x v="1"/>
    <x v="0"/>
    <x v="371"/>
    <x v="371"/>
    <x v="1"/>
    <x v="1"/>
    <x v="0"/>
    <s v="No"/>
    <s v="Y"/>
    <n v="4"/>
    <n v="-2"/>
    <n v="0"/>
    <n v="29"/>
    <n v="0"/>
    <m/>
    <n v="0"/>
    <n v="1"/>
    <n v="1283"/>
    <n v="23"/>
    <x v="3"/>
    <n v="1"/>
    <n v="4"/>
    <n v="54"/>
    <n v="3"/>
    <n v="1"/>
    <n v="2"/>
    <n v="2201"/>
    <n v="18168"/>
    <n v="9"/>
    <n v="16"/>
    <n v="3"/>
    <n v="4"/>
    <n v="80"/>
    <n v="0"/>
    <n v="6"/>
    <n v="3"/>
    <n v="3"/>
    <n v="2"/>
    <n v="1"/>
    <n v="2"/>
  </r>
  <r>
    <s v="No"/>
    <s v="Travel_Rarely"/>
    <x v="0"/>
    <s v="Current Employees"/>
    <x v="1"/>
    <x v="0"/>
    <x v="372"/>
    <x v="372"/>
    <x v="1"/>
    <x v="4"/>
    <x v="0"/>
    <s v="No"/>
    <s v="Y"/>
    <n v="5"/>
    <n v="-2"/>
    <n v="0"/>
    <n v="35"/>
    <n v="0"/>
    <m/>
    <n v="0"/>
    <n v="1"/>
    <n v="755"/>
    <n v="9"/>
    <x v="2"/>
    <n v="1"/>
    <n v="3"/>
    <n v="97"/>
    <n v="2"/>
    <n v="2"/>
    <n v="2"/>
    <n v="6540"/>
    <n v="19394"/>
    <n v="9"/>
    <n v="19"/>
    <n v="3"/>
    <n v="3"/>
    <n v="80"/>
    <n v="0"/>
    <n v="10"/>
    <n v="3"/>
    <n v="1"/>
    <n v="1"/>
    <n v="0"/>
    <n v="0"/>
  </r>
  <r>
    <s v="No"/>
    <s v="Travel_Rarely"/>
    <x v="2"/>
    <s v="Current Employees"/>
    <x v="1"/>
    <x v="2"/>
    <x v="373"/>
    <x v="373"/>
    <x v="1"/>
    <x v="2"/>
    <x v="2"/>
    <s v="No"/>
    <s v="Y"/>
    <n v="2"/>
    <n v="-2"/>
    <n v="0"/>
    <n v="27"/>
    <n v="0"/>
    <m/>
    <n v="0"/>
    <n v="1"/>
    <n v="1469"/>
    <n v="1"/>
    <x v="0"/>
    <n v="1"/>
    <n v="4"/>
    <n v="82"/>
    <n v="3"/>
    <n v="1"/>
    <n v="3"/>
    <n v="3816"/>
    <n v="17881"/>
    <n v="1"/>
    <n v="11"/>
    <n v="3"/>
    <n v="2"/>
    <n v="80"/>
    <n v="1"/>
    <n v="5"/>
    <n v="3"/>
    <n v="5"/>
    <n v="2"/>
    <n v="0"/>
    <n v="4"/>
  </r>
  <r>
    <s v="No"/>
    <s v="Travel_Rarely"/>
    <x v="2"/>
    <s v="Current Employees"/>
    <x v="0"/>
    <x v="0"/>
    <x v="374"/>
    <x v="374"/>
    <x v="1"/>
    <x v="0"/>
    <x v="0"/>
    <s v="No"/>
    <s v="Y"/>
    <n v="1"/>
    <n v="-2"/>
    <n v="0"/>
    <n v="28"/>
    <n v="0"/>
    <m/>
    <n v="0"/>
    <n v="1"/>
    <n v="304"/>
    <n v="9"/>
    <x v="2"/>
    <n v="1"/>
    <n v="2"/>
    <n v="92"/>
    <n v="3"/>
    <n v="2"/>
    <n v="2"/>
    <n v="5253"/>
    <n v="20750"/>
    <n v="1"/>
    <n v="16"/>
    <n v="3"/>
    <n v="4"/>
    <n v="80"/>
    <n v="0"/>
    <n v="7"/>
    <n v="3"/>
    <n v="7"/>
    <n v="5"/>
    <n v="0"/>
    <n v="7"/>
  </r>
  <r>
    <s v="No"/>
    <s v="Travel_Rarely"/>
    <x v="1"/>
    <s v="Current Employees"/>
    <x v="1"/>
    <x v="1"/>
    <x v="375"/>
    <x v="375"/>
    <x v="1"/>
    <x v="4"/>
    <x v="0"/>
    <s v="No"/>
    <s v="Y"/>
    <n v="2"/>
    <n v="-2"/>
    <n v="0"/>
    <n v="49"/>
    <n v="0"/>
    <m/>
    <n v="0"/>
    <n v="1"/>
    <n v="1261"/>
    <n v="7"/>
    <x v="3"/>
    <n v="1"/>
    <n v="2"/>
    <n v="31"/>
    <n v="2"/>
    <n v="3"/>
    <n v="3"/>
    <n v="10965"/>
    <n v="12066"/>
    <n v="8"/>
    <n v="24"/>
    <n v="4"/>
    <n v="3"/>
    <n v="80"/>
    <n v="0"/>
    <n v="26"/>
    <n v="3"/>
    <n v="5"/>
    <n v="2"/>
    <n v="0"/>
    <n v="0"/>
  </r>
  <r>
    <s v="No"/>
    <s v="Travel_Rarely"/>
    <x v="1"/>
    <s v="Current Employees"/>
    <x v="0"/>
    <x v="0"/>
    <x v="376"/>
    <x v="376"/>
    <x v="0"/>
    <x v="0"/>
    <x v="1"/>
    <s v="No"/>
    <s v="Y"/>
    <n v="2"/>
    <n v="-2"/>
    <n v="0"/>
    <n v="51"/>
    <n v="0"/>
    <m/>
    <n v="0"/>
    <n v="1"/>
    <n v="1178"/>
    <n v="14"/>
    <x v="0"/>
    <n v="1"/>
    <n v="3"/>
    <n v="87"/>
    <n v="3"/>
    <n v="2"/>
    <n v="2"/>
    <n v="4936"/>
    <n v="14862"/>
    <n v="4"/>
    <n v="11"/>
    <n v="3"/>
    <n v="3"/>
    <n v="80"/>
    <n v="1"/>
    <n v="18"/>
    <n v="2"/>
    <n v="7"/>
    <n v="7"/>
    <n v="0"/>
    <n v="7"/>
  </r>
  <r>
    <s v="No"/>
    <s v="Travel_Rarely"/>
    <x v="0"/>
    <s v="Current Employees"/>
    <x v="1"/>
    <x v="0"/>
    <x v="377"/>
    <x v="377"/>
    <x v="0"/>
    <x v="1"/>
    <x v="1"/>
    <s v="No"/>
    <s v="Y"/>
    <n v="3"/>
    <n v="-2"/>
    <n v="0"/>
    <n v="36"/>
    <n v="0"/>
    <m/>
    <n v="0"/>
    <n v="1"/>
    <n v="329"/>
    <n v="2"/>
    <x v="3"/>
    <n v="1"/>
    <n v="4"/>
    <n v="96"/>
    <n v="3"/>
    <n v="1"/>
    <n v="2"/>
    <n v="2543"/>
    <n v="11868"/>
    <n v="4"/>
    <n v="13"/>
    <n v="3"/>
    <n v="2"/>
    <n v="80"/>
    <n v="1"/>
    <n v="6"/>
    <n v="3"/>
    <n v="2"/>
    <n v="2"/>
    <n v="2"/>
    <n v="2"/>
  </r>
  <r>
    <s v="Yes"/>
    <s v="Non-Travel"/>
    <x v="2"/>
    <s v="Ex-Employees"/>
    <x v="0"/>
    <x v="3"/>
    <x v="378"/>
    <x v="378"/>
    <x v="1"/>
    <x v="0"/>
    <x v="0"/>
    <s v="Yes"/>
    <s v="Y"/>
    <n v="3"/>
    <n v="-2"/>
    <n v="0"/>
    <n v="34"/>
    <n v="1"/>
    <n v="1"/>
    <n v="1"/>
    <n v="0"/>
    <n v="1362"/>
    <n v="19"/>
    <x v="3"/>
    <n v="1"/>
    <n v="1"/>
    <n v="67"/>
    <n v="4"/>
    <n v="2"/>
    <n v="1"/>
    <n v="5304"/>
    <n v="4652"/>
    <n v="8"/>
    <n v="13"/>
    <n v="3"/>
    <n v="2"/>
    <n v="80"/>
    <n v="0"/>
    <n v="9"/>
    <n v="2"/>
    <n v="5"/>
    <n v="2"/>
    <n v="0"/>
    <n v="4"/>
  </r>
  <r>
    <s v="No"/>
    <s v="Travel_Rarely"/>
    <x v="3"/>
    <s v="Current Employees"/>
    <x v="1"/>
    <x v="0"/>
    <x v="379"/>
    <x v="379"/>
    <x v="0"/>
    <x v="5"/>
    <x v="0"/>
    <s v="Yes"/>
    <s v="Y"/>
    <n v="2"/>
    <n v="-2"/>
    <n v="0"/>
    <n v="55"/>
    <n v="0"/>
    <m/>
    <n v="0"/>
    <n v="1"/>
    <n v="1311"/>
    <n v="2"/>
    <x v="3"/>
    <n v="1"/>
    <n v="3"/>
    <n v="97"/>
    <n v="3"/>
    <n v="4"/>
    <n v="2"/>
    <n v="16659"/>
    <n v="23258"/>
    <n v="2"/>
    <n v="13"/>
    <n v="3"/>
    <n v="3"/>
    <n v="80"/>
    <n v="0"/>
    <n v="30"/>
    <n v="3"/>
    <n v="5"/>
    <n v="4"/>
    <n v="1"/>
    <n v="2"/>
  </r>
  <r>
    <s v="No"/>
    <s v="Travel_Rarely"/>
    <x v="4"/>
    <s v="Current Employees"/>
    <x v="0"/>
    <x v="3"/>
    <x v="380"/>
    <x v="380"/>
    <x v="0"/>
    <x v="0"/>
    <x v="2"/>
    <s v="Yes"/>
    <s v="Y"/>
    <n v="2"/>
    <n v="-2"/>
    <n v="0"/>
    <n v="24"/>
    <n v="0"/>
    <m/>
    <n v="0"/>
    <n v="1"/>
    <n v="1371"/>
    <n v="10"/>
    <x v="2"/>
    <n v="1"/>
    <n v="4"/>
    <n v="77"/>
    <n v="3"/>
    <n v="2"/>
    <n v="1"/>
    <n v="4260"/>
    <n v="5915"/>
    <n v="1"/>
    <n v="12"/>
    <n v="3"/>
    <n v="4"/>
    <n v="80"/>
    <n v="1"/>
    <n v="5"/>
    <n v="4"/>
    <n v="5"/>
    <n v="2"/>
    <n v="0"/>
    <n v="3"/>
  </r>
  <r>
    <s v="No"/>
    <s v="Travel_Rarely"/>
    <x v="2"/>
    <s v="Current Employees"/>
    <x v="0"/>
    <x v="4"/>
    <x v="381"/>
    <x v="381"/>
    <x v="1"/>
    <x v="6"/>
    <x v="1"/>
    <s v="No"/>
    <s v="Y"/>
    <n v="3"/>
    <n v="-2"/>
    <n v="0"/>
    <n v="30"/>
    <n v="0"/>
    <m/>
    <n v="0"/>
    <n v="1"/>
    <n v="202"/>
    <n v="2"/>
    <x v="1"/>
    <n v="1"/>
    <n v="4"/>
    <n v="72"/>
    <n v="3"/>
    <n v="1"/>
    <n v="4"/>
    <n v="2476"/>
    <n v="17434"/>
    <n v="1"/>
    <n v="18"/>
    <n v="3"/>
    <n v="1"/>
    <n v="80"/>
    <n v="1"/>
    <n v="1"/>
    <n v="3"/>
    <n v="1"/>
    <n v="0"/>
    <n v="0"/>
    <n v="0"/>
  </r>
  <r>
    <s v="Yes"/>
    <s v="Travel_Frequently"/>
    <x v="2"/>
    <s v="Ex-Employees"/>
    <x v="1"/>
    <x v="4"/>
    <x v="382"/>
    <x v="382"/>
    <x v="1"/>
    <x v="1"/>
    <x v="0"/>
    <s v="No"/>
    <s v="Y"/>
    <n v="2"/>
    <n v="-2"/>
    <n v="0"/>
    <n v="26"/>
    <n v="1"/>
    <n v="1"/>
    <n v="1"/>
    <n v="0"/>
    <n v="575"/>
    <n v="3"/>
    <x v="1"/>
    <n v="1"/>
    <n v="4"/>
    <n v="73"/>
    <n v="3"/>
    <n v="1"/>
    <n v="4"/>
    <n v="3102"/>
    <n v="6582"/>
    <n v="0"/>
    <n v="22"/>
    <n v="4"/>
    <n v="3"/>
    <n v="80"/>
    <n v="0"/>
    <n v="7"/>
    <n v="3"/>
    <n v="6"/>
    <n v="4"/>
    <n v="0"/>
    <n v="4"/>
  </r>
  <r>
    <s v="No"/>
    <s v="Travel_Rarely"/>
    <x v="4"/>
    <s v="Current Employees"/>
    <x v="1"/>
    <x v="2"/>
    <x v="383"/>
    <x v="383"/>
    <x v="0"/>
    <x v="1"/>
    <x v="1"/>
    <s v="No"/>
    <s v="Y"/>
    <n v="1"/>
    <n v="-2"/>
    <n v="0"/>
    <n v="22"/>
    <n v="0"/>
    <m/>
    <n v="0"/>
    <n v="1"/>
    <n v="253"/>
    <n v="11"/>
    <x v="3"/>
    <n v="1"/>
    <n v="1"/>
    <n v="43"/>
    <n v="3"/>
    <n v="1"/>
    <n v="3"/>
    <n v="2244"/>
    <n v="24440"/>
    <n v="1"/>
    <n v="13"/>
    <n v="3"/>
    <n v="4"/>
    <n v="80"/>
    <n v="1"/>
    <n v="2"/>
    <n v="3"/>
    <n v="2"/>
    <n v="1"/>
    <n v="1"/>
    <n v="2"/>
  </r>
  <r>
    <s v="No"/>
    <s v="Travel_Rarely"/>
    <x v="0"/>
    <s v="Current Employees"/>
    <x v="0"/>
    <x v="2"/>
    <x v="384"/>
    <x v="384"/>
    <x v="1"/>
    <x v="0"/>
    <x v="1"/>
    <s v="No"/>
    <s v="Y"/>
    <n v="2"/>
    <n v="-2"/>
    <n v="0"/>
    <n v="36"/>
    <n v="0"/>
    <m/>
    <n v="0"/>
    <n v="1"/>
    <n v="164"/>
    <n v="2"/>
    <x v="0"/>
    <n v="1"/>
    <n v="2"/>
    <n v="61"/>
    <n v="2"/>
    <n v="3"/>
    <n v="3"/>
    <n v="7596"/>
    <n v="3809"/>
    <n v="1"/>
    <n v="13"/>
    <n v="3"/>
    <n v="2"/>
    <n v="80"/>
    <n v="2"/>
    <n v="10"/>
    <n v="3"/>
    <n v="10"/>
    <n v="9"/>
    <n v="9"/>
    <n v="0"/>
  </r>
  <r>
    <s v="Yes"/>
    <s v="Travel_Frequently"/>
    <x v="2"/>
    <s v="Ex-Employees"/>
    <x v="1"/>
    <x v="4"/>
    <x v="385"/>
    <x v="385"/>
    <x v="1"/>
    <x v="1"/>
    <x v="0"/>
    <s v="Yes"/>
    <s v="Y"/>
    <n v="4"/>
    <n v="-2"/>
    <n v="0"/>
    <n v="30"/>
    <n v="1"/>
    <n v="1"/>
    <n v="1"/>
    <n v="0"/>
    <n v="464"/>
    <n v="4"/>
    <x v="3"/>
    <n v="1"/>
    <n v="4"/>
    <n v="40"/>
    <n v="3"/>
    <n v="1"/>
    <n v="4"/>
    <n v="2285"/>
    <n v="3427"/>
    <n v="9"/>
    <n v="23"/>
    <n v="4"/>
    <n v="3"/>
    <n v="80"/>
    <n v="0"/>
    <n v="3"/>
    <n v="3"/>
    <n v="1"/>
    <n v="0"/>
    <n v="0"/>
    <n v="0"/>
  </r>
  <r>
    <s v="No"/>
    <s v="Travel_Rarely"/>
    <x v="0"/>
    <s v="Current Employees"/>
    <x v="1"/>
    <x v="0"/>
    <x v="386"/>
    <x v="386"/>
    <x v="0"/>
    <x v="2"/>
    <x v="2"/>
    <s v="No"/>
    <s v="Y"/>
    <n v="2"/>
    <n v="-2"/>
    <n v="0"/>
    <n v="37"/>
    <n v="0"/>
    <m/>
    <n v="0"/>
    <n v="1"/>
    <n v="1107"/>
    <n v="14"/>
    <x v="3"/>
    <n v="1"/>
    <n v="4"/>
    <n v="95"/>
    <n v="3"/>
    <n v="1"/>
    <n v="2"/>
    <n v="3034"/>
    <n v="26914"/>
    <n v="1"/>
    <n v="12"/>
    <n v="3"/>
    <n v="3"/>
    <n v="80"/>
    <n v="1"/>
    <n v="18"/>
    <n v="2"/>
    <n v="18"/>
    <n v="7"/>
    <n v="12"/>
    <n v="17"/>
  </r>
  <r>
    <s v="No"/>
    <s v="Travel_Rarely"/>
    <x v="0"/>
    <s v="Current Employees"/>
    <x v="0"/>
    <x v="3"/>
    <x v="387"/>
    <x v="387"/>
    <x v="0"/>
    <x v="0"/>
    <x v="2"/>
    <s v="No"/>
    <s v="Y"/>
    <n v="5"/>
    <n v="-2"/>
    <n v="0"/>
    <n v="40"/>
    <n v="0"/>
    <m/>
    <n v="0"/>
    <n v="1"/>
    <n v="759"/>
    <n v="2"/>
    <x v="0"/>
    <n v="1"/>
    <n v="4"/>
    <n v="46"/>
    <n v="3"/>
    <n v="2"/>
    <n v="1"/>
    <n v="5715"/>
    <n v="22553"/>
    <n v="7"/>
    <n v="12"/>
    <n v="3"/>
    <n v="3"/>
    <n v="80"/>
    <n v="2"/>
    <n v="8"/>
    <n v="3"/>
    <n v="5"/>
    <n v="4"/>
    <n v="1"/>
    <n v="3"/>
  </r>
  <r>
    <s v="No"/>
    <s v="Travel_Rarely"/>
    <x v="0"/>
    <s v="Current Employees"/>
    <x v="1"/>
    <x v="0"/>
    <x v="388"/>
    <x v="388"/>
    <x v="0"/>
    <x v="2"/>
    <x v="2"/>
    <s v="No"/>
    <s v="Y"/>
    <n v="5"/>
    <n v="-2"/>
    <n v="0"/>
    <n v="42"/>
    <n v="0"/>
    <m/>
    <n v="0"/>
    <n v="1"/>
    <n v="201"/>
    <n v="1"/>
    <x v="2"/>
    <n v="1"/>
    <n v="2"/>
    <n v="95"/>
    <n v="3"/>
    <n v="1"/>
    <n v="2"/>
    <n v="2576"/>
    <n v="20490"/>
    <n v="3"/>
    <n v="16"/>
    <n v="3"/>
    <n v="2"/>
    <n v="80"/>
    <n v="1"/>
    <n v="8"/>
    <n v="3"/>
    <n v="5"/>
    <n v="2"/>
    <n v="1"/>
    <n v="2"/>
  </r>
  <r>
    <s v="No"/>
    <s v="Travel_Rarely"/>
    <x v="0"/>
    <s v="Current Employees"/>
    <x v="1"/>
    <x v="0"/>
    <x v="389"/>
    <x v="389"/>
    <x v="1"/>
    <x v="3"/>
    <x v="0"/>
    <s v="Yes"/>
    <s v="Y"/>
    <n v="2"/>
    <n v="-2"/>
    <n v="0"/>
    <n v="37"/>
    <n v="0"/>
    <m/>
    <n v="0"/>
    <n v="1"/>
    <n v="1305"/>
    <n v="10"/>
    <x v="2"/>
    <n v="1"/>
    <n v="3"/>
    <n v="49"/>
    <n v="3"/>
    <n v="2"/>
    <n v="2"/>
    <n v="4197"/>
    <n v="21123"/>
    <n v="2"/>
    <n v="12"/>
    <n v="3"/>
    <n v="4"/>
    <n v="80"/>
    <n v="0"/>
    <n v="18"/>
    <n v="2"/>
    <n v="1"/>
    <n v="0"/>
    <n v="0"/>
    <n v="1"/>
  </r>
  <r>
    <s v="No"/>
    <s v="Travel_Rarely"/>
    <x v="0"/>
    <s v="Current Employees"/>
    <x v="1"/>
    <x v="0"/>
    <x v="390"/>
    <x v="390"/>
    <x v="1"/>
    <x v="7"/>
    <x v="2"/>
    <s v="No"/>
    <s v="Y"/>
    <n v="3"/>
    <n v="-2"/>
    <n v="0"/>
    <n v="43"/>
    <n v="0"/>
    <m/>
    <n v="0"/>
    <n v="1"/>
    <n v="982"/>
    <n v="12"/>
    <x v="3"/>
    <n v="1"/>
    <n v="1"/>
    <n v="59"/>
    <n v="2"/>
    <n v="4"/>
    <n v="2"/>
    <n v="14336"/>
    <n v="4345"/>
    <n v="1"/>
    <n v="11"/>
    <n v="3"/>
    <n v="3"/>
    <n v="80"/>
    <n v="1"/>
    <n v="25"/>
    <n v="3"/>
    <n v="25"/>
    <n v="10"/>
    <n v="3"/>
    <n v="9"/>
  </r>
  <r>
    <s v="No"/>
    <s v="Travel_Rarely"/>
    <x v="0"/>
    <s v="Current Employees"/>
    <x v="1"/>
    <x v="2"/>
    <x v="391"/>
    <x v="391"/>
    <x v="0"/>
    <x v="2"/>
    <x v="1"/>
    <s v="No"/>
    <s v="Y"/>
    <n v="3"/>
    <n v="-2"/>
    <n v="0"/>
    <n v="40"/>
    <n v="0"/>
    <m/>
    <n v="0"/>
    <n v="1"/>
    <n v="555"/>
    <n v="2"/>
    <x v="3"/>
    <n v="1"/>
    <n v="2"/>
    <n v="78"/>
    <n v="2"/>
    <n v="2"/>
    <n v="3"/>
    <n v="3448"/>
    <n v="13436"/>
    <n v="6"/>
    <n v="22"/>
    <n v="4"/>
    <n v="2"/>
    <n v="80"/>
    <n v="1"/>
    <n v="20"/>
    <n v="3"/>
    <n v="1"/>
    <n v="0"/>
    <n v="0"/>
    <n v="0"/>
  </r>
  <r>
    <s v="No"/>
    <s v="Travel_Rarely"/>
    <x v="1"/>
    <s v="Current Employees"/>
    <x v="1"/>
    <x v="2"/>
    <x v="392"/>
    <x v="392"/>
    <x v="1"/>
    <x v="7"/>
    <x v="1"/>
    <s v="No"/>
    <s v="Y"/>
    <n v="4"/>
    <n v="-2"/>
    <n v="0"/>
    <n v="54"/>
    <n v="0"/>
    <m/>
    <n v="0"/>
    <n v="1"/>
    <n v="821"/>
    <n v="5"/>
    <x v="0"/>
    <n v="1"/>
    <n v="1"/>
    <n v="86"/>
    <n v="3"/>
    <n v="5"/>
    <n v="3"/>
    <n v="19406"/>
    <n v="8509"/>
    <n v="4"/>
    <n v="11"/>
    <n v="3"/>
    <n v="3"/>
    <n v="80"/>
    <n v="1"/>
    <n v="24"/>
    <n v="2"/>
    <n v="4"/>
    <n v="2"/>
    <n v="1"/>
    <n v="2"/>
  </r>
  <r>
    <s v="No"/>
    <s v="Non-Travel"/>
    <x v="2"/>
    <s v="Current Employees"/>
    <x v="0"/>
    <x v="3"/>
    <x v="393"/>
    <x v="393"/>
    <x v="0"/>
    <x v="0"/>
    <x v="1"/>
    <s v="No"/>
    <s v="Y"/>
    <n v="3"/>
    <n v="-2"/>
    <n v="0"/>
    <n v="34"/>
    <n v="0"/>
    <m/>
    <n v="0"/>
    <n v="1"/>
    <n v="1381"/>
    <n v="4"/>
    <x v="2"/>
    <n v="1"/>
    <n v="3"/>
    <n v="72"/>
    <n v="3"/>
    <n v="2"/>
    <n v="1"/>
    <n v="6538"/>
    <n v="12740"/>
    <n v="9"/>
    <n v="15"/>
    <n v="3"/>
    <n v="1"/>
    <n v="80"/>
    <n v="1"/>
    <n v="6"/>
    <n v="3"/>
    <n v="3"/>
    <n v="2"/>
    <n v="1"/>
    <n v="2"/>
  </r>
  <r>
    <s v="No"/>
    <s v="Travel_Rarely"/>
    <x v="2"/>
    <s v="Current Employees"/>
    <x v="1"/>
    <x v="2"/>
    <x v="394"/>
    <x v="394"/>
    <x v="0"/>
    <x v="3"/>
    <x v="1"/>
    <s v="No"/>
    <s v="Y"/>
    <n v="5"/>
    <n v="-2"/>
    <n v="0"/>
    <n v="31"/>
    <n v="0"/>
    <m/>
    <n v="0"/>
    <n v="1"/>
    <n v="480"/>
    <n v="7"/>
    <x v="0"/>
    <n v="1"/>
    <n v="2"/>
    <n v="31"/>
    <n v="3"/>
    <n v="2"/>
    <n v="3"/>
    <n v="4306"/>
    <n v="4156"/>
    <n v="1"/>
    <n v="12"/>
    <n v="3"/>
    <n v="2"/>
    <n v="80"/>
    <n v="1"/>
    <n v="13"/>
    <n v="1"/>
    <n v="13"/>
    <n v="10"/>
    <n v="3"/>
    <n v="12"/>
  </r>
  <r>
    <s v="No"/>
    <s v="Travel_Frequently"/>
    <x v="0"/>
    <s v="Current Employees"/>
    <x v="1"/>
    <x v="2"/>
    <x v="395"/>
    <x v="395"/>
    <x v="1"/>
    <x v="2"/>
    <x v="1"/>
    <s v="No"/>
    <s v="Y"/>
    <n v="1"/>
    <n v="-2"/>
    <n v="0"/>
    <n v="43"/>
    <n v="0"/>
    <m/>
    <n v="0"/>
    <n v="1"/>
    <n v="313"/>
    <n v="21"/>
    <x v="3"/>
    <n v="1"/>
    <n v="4"/>
    <n v="61"/>
    <n v="3"/>
    <n v="1"/>
    <n v="4"/>
    <n v="2258"/>
    <n v="15238"/>
    <n v="7"/>
    <n v="20"/>
    <n v="4"/>
    <n v="1"/>
    <n v="80"/>
    <n v="1"/>
    <n v="8"/>
    <n v="3"/>
    <n v="3"/>
    <n v="2"/>
    <n v="1"/>
    <n v="2"/>
  </r>
  <r>
    <s v="No"/>
    <s v="Travel_Rarely"/>
    <x v="0"/>
    <s v="Current Employees"/>
    <x v="1"/>
    <x v="1"/>
    <x v="396"/>
    <x v="396"/>
    <x v="0"/>
    <x v="4"/>
    <x v="2"/>
    <s v="Yes"/>
    <s v="Y"/>
    <n v="3"/>
    <n v="-2"/>
    <n v="0"/>
    <n v="43"/>
    <n v="0"/>
    <m/>
    <n v="0"/>
    <n v="1"/>
    <n v="1473"/>
    <n v="8"/>
    <x v="2"/>
    <n v="1"/>
    <n v="3"/>
    <n v="74"/>
    <n v="3"/>
    <n v="2"/>
    <n v="3"/>
    <n v="4522"/>
    <n v="2227"/>
    <n v="4"/>
    <n v="14"/>
    <n v="3"/>
    <n v="4"/>
    <n v="80"/>
    <n v="0"/>
    <n v="8"/>
    <n v="3"/>
    <n v="5"/>
    <n v="2"/>
    <n v="0"/>
    <n v="2"/>
  </r>
  <r>
    <s v="No"/>
    <s v="Travel_Rarely"/>
    <x v="2"/>
    <s v="Current Employees"/>
    <x v="0"/>
    <x v="0"/>
    <x v="397"/>
    <x v="397"/>
    <x v="0"/>
    <x v="0"/>
    <x v="0"/>
    <s v="Yes"/>
    <s v="Y"/>
    <n v="3"/>
    <n v="-2"/>
    <n v="0"/>
    <n v="25"/>
    <n v="0"/>
    <m/>
    <n v="0"/>
    <n v="1"/>
    <n v="891"/>
    <n v="4"/>
    <x v="0"/>
    <n v="1"/>
    <n v="2"/>
    <n v="99"/>
    <n v="2"/>
    <n v="2"/>
    <n v="2"/>
    <n v="4487"/>
    <n v="12090"/>
    <n v="1"/>
    <n v="11"/>
    <n v="3"/>
    <n v="2"/>
    <n v="80"/>
    <n v="0"/>
    <n v="5"/>
    <n v="3"/>
    <n v="5"/>
    <n v="4"/>
    <n v="1"/>
    <n v="3"/>
  </r>
  <r>
    <s v="No"/>
    <s v="Non-Travel"/>
    <x v="0"/>
    <s v="Current Employees"/>
    <x v="1"/>
    <x v="2"/>
    <x v="398"/>
    <x v="398"/>
    <x v="0"/>
    <x v="1"/>
    <x v="1"/>
    <s v="Yes"/>
    <s v="Y"/>
    <n v="2"/>
    <n v="-2"/>
    <n v="0"/>
    <n v="37"/>
    <n v="0"/>
    <m/>
    <n v="0"/>
    <n v="1"/>
    <n v="1063"/>
    <n v="25"/>
    <x v="4"/>
    <n v="1"/>
    <n v="2"/>
    <n v="72"/>
    <n v="3"/>
    <n v="2"/>
    <n v="3"/>
    <n v="4449"/>
    <n v="23866"/>
    <n v="3"/>
    <n v="15"/>
    <n v="3"/>
    <n v="1"/>
    <n v="80"/>
    <n v="2"/>
    <n v="15"/>
    <n v="3"/>
    <n v="13"/>
    <n v="11"/>
    <n v="10"/>
    <n v="7"/>
  </r>
  <r>
    <s v="No"/>
    <s v="Travel_Rarely"/>
    <x v="2"/>
    <s v="Current Employees"/>
    <x v="1"/>
    <x v="0"/>
    <x v="399"/>
    <x v="399"/>
    <x v="1"/>
    <x v="2"/>
    <x v="1"/>
    <s v="No"/>
    <s v="Y"/>
    <n v="3"/>
    <n v="-2"/>
    <n v="0"/>
    <n v="31"/>
    <n v="0"/>
    <m/>
    <n v="0"/>
    <n v="1"/>
    <n v="329"/>
    <n v="1"/>
    <x v="0"/>
    <n v="1"/>
    <n v="4"/>
    <n v="98"/>
    <n v="2"/>
    <n v="1"/>
    <n v="2"/>
    <n v="2218"/>
    <n v="16193"/>
    <n v="1"/>
    <n v="12"/>
    <n v="3"/>
    <n v="3"/>
    <n v="80"/>
    <n v="1"/>
    <n v="4"/>
    <n v="3"/>
    <n v="4"/>
    <n v="2"/>
    <n v="3"/>
    <n v="2"/>
  </r>
  <r>
    <s v="No"/>
    <s v="Travel_Frequently"/>
    <x v="0"/>
    <s v="Current Employees"/>
    <x v="1"/>
    <x v="0"/>
    <x v="400"/>
    <x v="400"/>
    <x v="1"/>
    <x v="5"/>
    <x v="2"/>
    <s v="Yes"/>
    <s v="Y"/>
    <n v="3"/>
    <n v="-2"/>
    <n v="0"/>
    <n v="39"/>
    <n v="0"/>
    <m/>
    <n v="0"/>
    <n v="1"/>
    <n v="1218"/>
    <n v="1"/>
    <x v="1"/>
    <n v="1"/>
    <n v="2"/>
    <n v="52"/>
    <n v="3"/>
    <n v="5"/>
    <n v="2"/>
    <n v="19197"/>
    <n v="8213"/>
    <n v="1"/>
    <n v="14"/>
    <n v="3"/>
    <n v="3"/>
    <n v="80"/>
    <n v="1"/>
    <n v="21"/>
    <n v="3"/>
    <n v="21"/>
    <n v="8"/>
    <n v="1"/>
    <n v="6"/>
  </r>
  <r>
    <s v="No"/>
    <s v="Travel_Frequently"/>
    <x v="3"/>
    <s v="Current Employees"/>
    <x v="0"/>
    <x v="0"/>
    <x v="401"/>
    <x v="401"/>
    <x v="0"/>
    <x v="0"/>
    <x v="1"/>
    <s v="No"/>
    <s v="Y"/>
    <n v="0"/>
    <n v="-2"/>
    <n v="0"/>
    <n v="56"/>
    <n v="0"/>
    <m/>
    <n v="0"/>
    <n v="1"/>
    <n v="906"/>
    <n v="6"/>
    <x v="3"/>
    <n v="1"/>
    <n v="3"/>
    <n v="86"/>
    <n v="4"/>
    <n v="4"/>
    <n v="2"/>
    <n v="13212"/>
    <n v="18256"/>
    <n v="9"/>
    <n v="11"/>
    <n v="3"/>
    <n v="4"/>
    <n v="80"/>
    <n v="3"/>
    <n v="36"/>
    <n v="2"/>
    <n v="7"/>
    <n v="7"/>
    <n v="7"/>
    <n v="7"/>
  </r>
  <r>
    <s v="No"/>
    <s v="Travel_Rarely"/>
    <x v="2"/>
    <s v="Current Employees"/>
    <x v="0"/>
    <x v="4"/>
    <x v="402"/>
    <x v="402"/>
    <x v="0"/>
    <x v="0"/>
    <x v="0"/>
    <s v="No"/>
    <s v="Y"/>
    <n v="6"/>
    <n v="-2"/>
    <n v="0"/>
    <n v="30"/>
    <n v="0"/>
    <m/>
    <n v="0"/>
    <n v="1"/>
    <n v="1082"/>
    <n v="12"/>
    <x v="3"/>
    <n v="1"/>
    <n v="4"/>
    <n v="83"/>
    <n v="3"/>
    <n v="2"/>
    <n v="4"/>
    <n v="6577"/>
    <n v="19558"/>
    <n v="0"/>
    <n v="11"/>
    <n v="3"/>
    <n v="2"/>
    <n v="80"/>
    <n v="0"/>
    <n v="6"/>
    <n v="3"/>
    <n v="5"/>
    <n v="4"/>
    <n v="4"/>
    <n v="4"/>
  </r>
  <r>
    <s v="No"/>
    <s v="Travel_Rarely"/>
    <x v="0"/>
    <s v="Current Employees"/>
    <x v="0"/>
    <x v="3"/>
    <x v="403"/>
    <x v="403"/>
    <x v="1"/>
    <x v="0"/>
    <x v="1"/>
    <s v="No"/>
    <s v="Y"/>
    <n v="2"/>
    <n v="-2"/>
    <n v="0"/>
    <n v="41"/>
    <n v="0"/>
    <m/>
    <n v="0"/>
    <n v="1"/>
    <n v="645"/>
    <n v="1"/>
    <x v="3"/>
    <n v="1"/>
    <n v="2"/>
    <n v="49"/>
    <n v="4"/>
    <n v="3"/>
    <n v="1"/>
    <n v="8392"/>
    <n v="19566"/>
    <n v="1"/>
    <n v="16"/>
    <n v="3"/>
    <n v="3"/>
    <n v="80"/>
    <n v="1"/>
    <n v="10"/>
    <n v="3"/>
    <n v="10"/>
    <n v="7"/>
    <n v="0"/>
    <n v="7"/>
  </r>
  <r>
    <s v="No"/>
    <s v="Travel_Rarely"/>
    <x v="2"/>
    <s v="Current Employees"/>
    <x v="1"/>
    <x v="2"/>
    <x v="404"/>
    <x v="404"/>
    <x v="1"/>
    <x v="2"/>
    <x v="2"/>
    <s v="No"/>
    <s v="Y"/>
    <n v="2"/>
    <n v="-2"/>
    <n v="0"/>
    <n v="28"/>
    <n v="0"/>
    <m/>
    <n v="0"/>
    <n v="1"/>
    <n v="1300"/>
    <n v="17"/>
    <x v="0"/>
    <n v="1"/>
    <n v="3"/>
    <n v="79"/>
    <n v="3"/>
    <n v="2"/>
    <n v="3"/>
    <n v="4558"/>
    <n v="13535"/>
    <n v="1"/>
    <n v="12"/>
    <n v="3"/>
    <n v="4"/>
    <n v="80"/>
    <n v="1"/>
    <n v="10"/>
    <n v="3"/>
    <n v="10"/>
    <n v="0"/>
    <n v="1"/>
    <n v="8"/>
  </r>
  <r>
    <s v="Yes"/>
    <s v="Travel_Rarely"/>
    <x v="2"/>
    <s v="Ex-Employees"/>
    <x v="1"/>
    <x v="2"/>
    <x v="405"/>
    <x v="405"/>
    <x v="1"/>
    <x v="2"/>
    <x v="1"/>
    <s v="No"/>
    <s v="Y"/>
    <n v="5"/>
    <n v="-2"/>
    <n v="0"/>
    <n v="25"/>
    <n v="1"/>
    <n v="1"/>
    <n v="1"/>
    <n v="0"/>
    <n v="688"/>
    <n v="3"/>
    <x v="3"/>
    <n v="1"/>
    <n v="1"/>
    <n v="91"/>
    <n v="3"/>
    <n v="1"/>
    <n v="3"/>
    <n v="4031"/>
    <n v="9396"/>
    <n v="5"/>
    <n v="13"/>
    <n v="3"/>
    <n v="3"/>
    <n v="80"/>
    <n v="1"/>
    <n v="6"/>
    <n v="3"/>
    <n v="2"/>
    <n v="2"/>
    <n v="0"/>
    <n v="2"/>
  </r>
  <r>
    <s v="No"/>
    <s v="Travel_Rarely"/>
    <x v="1"/>
    <s v="Current Employees"/>
    <x v="1"/>
    <x v="2"/>
    <x v="406"/>
    <x v="406"/>
    <x v="1"/>
    <x v="3"/>
    <x v="1"/>
    <s v="Yes"/>
    <s v="Y"/>
    <n v="4"/>
    <n v="-2"/>
    <n v="0"/>
    <n v="52"/>
    <n v="0"/>
    <m/>
    <n v="0"/>
    <n v="1"/>
    <n v="319"/>
    <n v="3"/>
    <x v="3"/>
    <n v="1"/>
    <n v="4"/>
    <n v="39"/>
    <n v="2"/>
    <n v="3"/>
    <n v="3"/>
    <n v="7969"/>
    <n v="19609"/>
    <n v="2"/>
    <n v="14"/>
    <n v="3"/>
    <n v="3"/>
    <n v="80"/>
    <n v="0"/>
    <n v="28"/>
    <n v="3"/>
    <n v="5"/>
    <n v="4"/>
    <n v="0"/>
    <n v="4"/>
  </r>
  <r>
    <s v="No"/>
    <s v="Travel_Rarely"/>
    <x v="1"/>
    <s v="Current Employees"/>
    <x v="1"/>
    <x v="0"/>
    <x v="407"/>
    <x v="407"/>
    <x v="1"/>
    <x v="1"/>
    <x v="1"/>
    <s v="No"/>
    <s v="Y"/>
    <n v="3"/>
    <n v="-2"/>
    <n v="0"/>
    <n v="45"/>
    <n v="0"/>
    <m/>
    <n v="0"/>
    <n v="1"/>
    <n v="192"/>
    <n v="10"/>
    <x v="0"/>
    <n v="1"/>
    <n v="1"/>
    <n v="69"/>
    <n v="3"/>
    <n v="1"/>
    <n v="2"/>
    <n v="2654"/>
    <n v="9655"/>
    <n v="3"/>
    <n v="21"/>
    <n v="4"/>
    <n v="4"/>
    <n v="80"/>
    <n v="2"/>
    <n v="8"/>
    <n v="2"/>
    <n v="2"/>
    <n v="2"/>
    <n v="0"/>
    <n v="2"/>
  </r>
  <r>
    <s v="No"/>
    <s v="Travel_Rarely"/>
    <x v="1"/>
    <s v="Current Employees"/>
    <x v="1"/>
    <x v="0"/>
    <x v="408"/>
    <x v="408"/>
    <x v="0"/>
    <x v="5"/>
    <x v="1"/>
    <s v="No"/>
    <s v="Y"/>
    <n v="2"/>
    <n v="-2"/>
    <n v="0"/>
    <n v="52"/>
    <n v="0"/>
    <m/>
    <n v="0"/>
    <n v="1"/>
    <n v="1490"/>
    <n v="4"/>
    <x v="0"/>
    <n v="1"/>
    <n v="4"/>
    <n v="30"/>
    <n v="3"/>
    <n v="4"/>
    <n v="2"/>
    <n v="16555"/>
    <n v="10310"/>
    <n v="2"/>
    <n v="13"/>
    <n v="3"/>
    <n v="4"/>
    <n v="80"/>
    <n v="0"/>
    <n v="31"/>
    <n v="1"/>
    <n v="5"/>
    <n v="2"/>
    <n v="1"/>
    <n v="4"/>
  </r>
  <r>
    <s v="No"/>
    <s v="Travel_Frequently"/>
    <x v="0"/>
    <s v="Current Employees"/>
    <x v="1"/>
    <x v="0"/>
    <x v="409"/>
    <x v="409"/>
    <x v="0"/>
    <x v="1"/>
    <x v="2"/>
    <s v="No"/>
    <s v="Y"/>
    <n v="3"/>
    <n v="-2"/>
    <n v="0"/>
    <n v="42"/>
    <n v="0"/>
    <m/>
    <n v="0"/>
    <n v="1"/>
    <n v="532"/>
    <n v="29"/>
    <x v="0"/>
    <n v="1"/>
    <n v="1"/>
    <n v="92"/>
    <n v="3"/>
    <n v="2"/>
    <n v="2"/>
    <n v="4556"/>
    <n v="12932"/>
    <n v="2"/>
    <n v="11"/>
    <n v="3"/>
    <n v="2"/>
    <n v="80"/>
    <n v="1"/>
    <n v="19"/>
    <n v="3"/>
    <n v="5"/>
    <n v="4"/>
    <n v="0"/>
    <n v="2"/>
  </r>
  <r>
    <s v="No"/>
    <s v="Travel_Rarely"/>
    <x v="2"/>
    <s v="Current Employees"/>
    <x v="1"/>
    <x v="0"/>
    <x v="410"/>
    <x v="410"/>
    <x v="0"/>
    <x v="3"/>
    <x v="0"/>
    <s v="No"/>
    <s v="Y"/>
    <n v="2"/>
    <n v="-2"/>
    <n v="0"/>
    <n v="30"/>
    <n v="0"/>
    <m/>
    <n v="0"/>
    <n v="1"/>
    <n v="317"/>
    <n v="2"/>
    <x v="3"/>
    <n v="1"/>
    <n v="3"/>
    <n v="43"/>
    <n v="1"/>
    <n v="2"/>
    <n v="2"/>
    <n v="6091"/>
    <n v="24793"/>
    <n v="2"/>
    <n v="20"/>
    <n v="4"/>
    <n v="3"/>
    <n v="80"/>
    <n v="0"/>
    <n v="11"/>
    <n v="3"/>
    <n v="5"/>
    <n v="4"/>
    <n v="0"/>
    <n v="2"/>
  </r>
  <r>
    <s v="No"/>
    <s v="Travel_Rarely"/>
    <x v="3"/>
    <s v="Current Employees"/>
    <x v="1"/>
    <x v="0"/>
    <x v="411"/>
    <x v="411"/>
    <x v="0"/>
    <x v="5"/>
    <x v="1"/>
    <s v="No"/>
    <s v="Y"/>
    <n v="5"/>
    <n v="-2"/>
    <n v="0"/>
    <n v="60"/>
    <n v="0"/>
    <m/>
    <n v="0"/>
    <n v="1"/>
    <n v="422"/>
    <n v="7"/>
    <x v="3"/>
    <n v="1"/>
    <n v="1"/>
    <n v="41"/>
    <n v="3"/>
    <n v="5"/>
    <n v="2"/>
    <n v="19566"/>
    <n v="3854"/>
    <n v="5"/>
    <n v="11"/>
    <n v="3"/>
    <n v="4"/>
    <n v="80"/>
    <n v="0"/>
    <n v="33"/>
    <n v="1"/>
    <n v="29"/>
    <n v="8"/>
    <n v="11"/>
    <n v="10"/>
  </r>
  <r>
    <s v="No"/>
    <s v="Travel_Rarely"/>
    <x v="1"/>
    <s v="Current Employees"/>
    <x v="1"/>
    <x v="2"/>
    <x v="412"/>
    <x v="412"/>
    <x v="0"/>
    <x v="3"/>
    <x v="2"/>
    <s v="No"/>
    <s v="Y"/>
    <n v="5"/>
    <n v="-2"/>
    <n v="0"/>
    <n v="46"/>
    <n v="0"/>
    <m/>
    <n v="0"/>
    <n v="1"/>
    <n v="1485"/>
    <n v="18"/>
    <x v="3"/>
    <n v="1"/>
    <n v="3"/>
    <n v="87"/>
    <n v="3"/>
    <n v="2"/>
    <n v="3"/>
    <n v="4810"/>
    <n v="26314"/>
    <n v="2"/>
    <n v="14"/>
    <n v="3"/>
    <n v="3"/>
    <n v="80"/>
    <n v="1"/>
    <n v="19"/>
    <n v="2"/>
    <n v="10"/>
    <n v="7"/>
    <n v="0"/>
    <n v="8"/>
  </r>
  <r>
    <s v="No"/>
    <s v="Travel_Frequently"/>
    <x v="0"/>
    <s v="Current Employees"/>
    <x v="1"/>
    <x v="4"/>
    <x v="413"/>
    <x v="413"/>
    <x v="0"/>
    <x v="4"/>
    <x v="1"/>
    <s v="No"/>
    <s v="Y"/>
    <n v="4"/>
    <n v="-2"/>
    <n v="0"/>
    <n v="42"/>
    <n v="0"/>
    <m/>
    <n v="0"/>
    <n v="1"/>
    <n v="1368"/>
    <n v="28"/>
    <x v="2"/>
    <n v="1"/>
    <n v="4"/>
    <n v="88"/>
    <n v="2"/>
    <n v="2"/>
    <n v="4"/>
    <n v="4523"/>
    <n v="4386"/>
    <n v="0"/>
    <n v="11"/>
    <n v="3"/>
    <n v="4"/>
    <n v="80"/>
    <n v="3"/>
    <n v="7"/>
    <n v="4"/>
    <n v="6"/>
    <n v="5"/>
    <n v="0"/>
    <n v="4"/>
  </r>
  <r>
    <s v="Yes"/>
    <s v="Travel_Rarely"/>
    <x v="4"/>
    <s v="Ex-Employees"/>
    <x v="0"/>
    <x v="4"/>
    <x v="414"/>
    <x v="414"/>
    <x v="0"/>
    <x v="6"/>
    <x v="0"/>
    <s v="Yes"/>
    <s v="Y"/>
    <n v="4"/>
    <n v="-2"/>
    <n v="0"/>
    <n v="24"/>
    <n v="1"/>
    <n v="1"/>
    <n v="1"/>
    <n v="0"/>
    <n v="1448"/>
    <n v="1"/>
    <x v="1"/>
    <n v="1"/>
    <n v="4"/>
    <n v="62"/>
    <n v="3"/>
    <n v="1"/>
    <n v="4"/>
    <n v="3202"/>
    <n v="21972"/>
    <n v="1"/>
    <n v="16"/>
    <n v="3"/>
    <n v="2"/>
    <n v="80"/>
    <n v="0"/>
    <n v="6"/>
    <n v="3"/>
    <n v="5"/>
    <n v="3"/>
    <n v="1"/>
    <n v="4"/>
  </r>
  <r>
    <s v="Yes"/>
    <s v="Travel_Frequently"/>
    <x v="2"/>
    <s v="Ex-Employees"/>
    <x v="0"/>
    <x v="3"/>
    <x v="415"/>
    <x v="415"/>
    <x v="0"/>
    <x v="6"/>
    <x v="2"/>
    <s v="No"/>
    <s v="Y"/>
    <n v="3"/>
    <n v="-2"/>
    <n v="0"/>
    <n v="34"/>
    <n v="1"/>
    <n v="1"/>
    <n v="1"/>
    <n v="0"/>
    <n v="296"/>
    <n v="6"/>
    <x v="0"/>
    <n v="1"/>
    <n v="4"/>
    <n v="33"/>
    <n v="1"/>
    <n v="1"/>
    <n v="1"/>
    <n v="2351"/>
    <n v="12253"/>
    <n v="0"/>
    <n v="16"/>
    <n v="3"/>
    <n v="4"/>
    <n v="80"/>
    <n v="1"/>
    <n v="3"/>
    <n v="2"/>
    <n v="2"/>
    <n v="2"/>
    <n v="1"/>
    <n v="0"/>
  </r>
  <r>
    <s v="No"/>
    <s v="Travel_Frequently"/>
    <x v="0"/>
    <s v="Current Employees"/>
    <x v="1"/>
    <x v="0"/>
    <x v="416"/>
    <x v="416"/>
    <x v="1"/>
    <x v="2"/>
    <x v="1"/>
    <s v="Yes"/>
    <s v="Y"/>
    <n v="3"/>
    <n v="-2"/>
    <n v="0"/>
    <n v="38"/>
    <n v="0"/>
    <m/>
    <n v="0"/>
    <n v="1"/>
    <n v="1490"/>
    <n v="2"/>
    <x v="0"/>
    <n v="1"/>
    <n v="4"/>
    <n v="42"/>
    <n v="3"/>
    <n v="1"/>
    <n v="2"/>
    <n v="1702"/>
    <n v="12106"/>
    <n v="1"/>
    <n v="23"/>
    <n v="4"/>
    <n v="3"/>
    <n v="80"/>
    <n v="1"/>
    <n v="1"/>
    <n v="3"/>
    <n v="1"/>
    <n v="0"/>
    <n v="0"/>
    <n v="0"/>
  </r>
  <r>
    <s v="No"/>
    <s v="Travel_Rarely"/>
    <x v="0"/>
    <s v="Current Employees"/>
    <x v="0"/>
    <x v="0"/>
    <x v="417"/>
    <x v="417"/>
    <x v="0"/>
    <x v="5"/>
    <x v="1"/>
    <s v="No"/>
    <s v="Y"/>
    <n v="2"/>
    <n v="-2"/>
    <n v="0"/>
    <n v="40"/>
    <n v="0"/>
    <m/>
    <n v="0"/>
    <n v="1"/>
    <n v="1398"/>
    <n v="2"/>
    <x v="2"/>
    <n v="1"/>
    <n v="3"/>
    <n v="79"/>
    <n v="3"/>
    <n v="5"/>
    <n v="2"/>
    <n v="18041"/>
    <n v="13022"/>
    <n v="0"/>
    <n v="14"/>
    <n v="3"/>
    <n v="4"/>
    <n v="80"/>
    <n v="0"/>
    <n v="21"/>
    <n v="3"/>
    <n v="20"/>
    <n v="15"/>
    <n v="1"/>
    <n v="12"/>
  </r>
  <r>
    <s v="No"/>
    <s v="Travel_Rarely"/>
    <x v="2"/>
    <s v="Current Employees"/>
    <x v="1"/>
    <x v="0"/>
    <x v="418"/>
    <x v="418"/>
    <x v="0"/>
    <x v="1"/>
    <x v="2"/>
    <s v="No"/>
    <s v="Y"/>
    <n v="3"/>
    <n v="-2"/>
    <n v="0"/>
    <n v="26"/>
    <n v="0"/>
    <m/>
    <n v="0"/>
    <n v="1"/>
    <n v="1349"/>
    <n v="23"/>
    <x v="3"/>
    <n v="1"/>
    <n v="1"/>
    <n v="90"/>
    <n v="3"/>
    <n v="1"/>
    <n v="2"/>
    <n v="2886"/>
    <n v="3032"/>
    <n v="1"/>
    <n v="22"/>
    <n v="4"/>
    <n v="2"/>
    <n v="80"/>
    <n v="2"/>
    <n v="3"/>
    <n v="1"/>
    <n v="3"/>
    <n v="2"/>
    <n v="0"/>
    <n v="2"/>
  </r>
  <r>
    <s v="No"/>
    <s v="Non-Travel"/>
    <x v="2"/>
    <s v="Current Employees"/>
    <x v="1"/>
    <x v="0"/>
    <x v="419"/>
    <x v="419"/>
    <x v="1"/>
    <x v="2"/>
    <x v="1"/>
    <s v="No"/>
    <s v="Y"/>
    <n v="3"/>
    <n v="-2"/>
    <n v="0"/>
    <n v="30"/>
    <n v="0"/>
    <m/>
    <n v="0"/>
    <n v="1"/>
    <n v="1400"/>
    <n v="3"/>
    <x v="3"/>
    <n v="1"/>
    <n v="3"/>
    <n v="53"/>
    <n v="3"/>
    <n v="1"/>
    <n v="2"/>
    <n v="2097"/>
    <n v="16734"/>
    <n v="4"/>
    <n v="15"/>
    <n v="3"/>
    <n v="3"/>
    <n v="80"/>
    <n v="1"/>
    <n v="9"/>
    <n v="1"/>
    <n v="5"/>
    <n v="3"/>
    <n v="1"/>
    <n v="4"/>
  </r>
  <r>
    <s v="No"/>
    <s v="Travel_Rarely"/>
    <x v="2"/>
    <s v="Current Employees"/>
    <x v="1"/>
    <x v="2"/>
    <x v="420"/>
    <x v="420"/>
    <x v="1"/>
    <x v="7"/>
    <x v="1"/>
    <s v="No"/>
    <s v="Y"/>
    <n v="2"/>
    <n v="-2"/>
    <n v="0"/>
    <n v="29"/>
    <n v="0"/>
    <m/>
    <n v="0"/>
    <n v="1"/>
    <n v="986"/>
    <n v="3"/>
    <x v="2"/>
    <n v="1"/>
    <n v="2"/>
    <n v="93"/>
    <n v="2"/>
    <n v="3"/>
    <n v="3"/>
    <n v="11935"/>
    <n v="21526"/>
    <n v="1"/>
    <n v="18"/>
    <n v="3"/>
    <n v="3"/>
    <n v="80"/>
    <n v="0"/>
    <n v="10"/>
    <n v="3"/>
    <n v="10"/>
    <n v="2"/>
    <n v="0"/>
    <n v="7"/>
  </r>
  <r>
    <s v="Yes"/>
    <s v="Travel_Rarely"/>
    <x v="2"/>
    <s v="Ex-Employees"/>
    <x v="1"/>
    <x v="4"/>
    <x v="421"/>
    <x v="421"/>
    <x v="0"/>
    <x v="1"/>
    <x v="1"/>
    <s v="No"/>
    <s v="Y"/>
    <n v="2"/>
    <n v="-2"/>
    <n v="0"/>
    <n v="29"/>
    <n v="1"/>
    <n v="1"/>
    <n v="1"/>
    <n v="0"/>
    <n v="408"/>
    <n v="25"/>
    <x v="4"/>
    <n v="1"/>
    <n v="4"/>
    <n v="71"/>
    <n v="2"/>
    <n v="1"/>
    <n v="4"/>
    <n v="2546"/>
    <n v="18300"/>
    <n v="5"/>
    <n v="16"/>
    <n v="3"/>
    <n v="2"/>
    <n v="80"/>
    <n v="0"/>
    <n v="6"/>
    <n v="4"/>
    <n v="2"/>
    <n v="2"/>
    <n v="1"/>
    <n v="1"/>
  </r>
  <r>
    <s v="Yes"/>
    <s v="Travel_Rarely"/>
    <x v="4"/>
    <s v="Ex-Employees"/>
    <x v="2"/>
    <x v="4"/>
    <x v="422"/>
    <x v="422"/>
    <x v="1"/>
    <x v="8"/>
    <x v="0"/>
    <s v="No"/>
    <s v="Y"/>
    <n v="3"/>
    <n v="-2"/>
    <n v="0"/>
    <n v="19"/>
    <n v="1"/>
    <n v="1"/>
    <n v="1"/>
    <n v="0"/>
    <n v="489"/>
    <n v="2"/>
    <x v="0"/>
    <n v="1"/>
    <n v="4"/>
    <n v="52"/>
    <n v="2"/>
    <n v="1"/>
    <n v="4"/>
    <n v="2564"/>
    <n v="18437"/>
    <n v="1"/>
    <n v="12"/>
    <n v="3"/>
    <n v="3"/>
    <n v="80"/>
    <n v="0"/>
    <n v="1"/>
    <n v="4"/>
    <n v="1"/>
    <n v="0"/>
    <n v="0"/>
    <n v="0"/>
  </r>
  <r>
    <s v="No"/>
    <s v="Non-Travel"/>
    <x v="2"/>
    <s v="Current Employees"/>
    <x v="0"/>
    <x v="1"/>
    <x v="423"/>
    <x v="423"/>
    <x v="0"/>
    <x v="0"/>
    <x v="1"/>
    <s v="No"/>
    <s v="Y"/>
    <n v="3"/>
    <n v="-2"/>
    <n v="0"/>
    <n v="30"/>
    <n v="0"/>
    <m/>
    <n v="0"/>
    <n v="1"/>
    <n v="1398"/>
    <n v="22"/>
    <x v="2"/>
    <n v="1"/>
    <n v="3"/>
    <n v="69"/>
    <n v="3"/>
    <n v="3"/>
    <n v="3"/>
    <n v="8412"/>
    <n v="2890"/>
    <n v="0"/>
    <n v="11"/>
    <n v="3"/>
    <n v="3"/>
    <n v="80"/>
    <n v="0"/>
    <n v="10"/>
    <n v="3"/>
    <n v="9"/>
    <n v="8"/>
    <n v="7"/>
    <n v="8"/>
  </r>
  <r>
    <s v="No"/>
    <s v="Travel_Rarely"/>
    <x v="3"/>
    <s v="Current Employees"/>
    <x v="0"/>
    <x v="3"/>
    <x v="424"/>
    <x v="424"/>
    <x v="1"/>
    <x v="5"/>
    <x v="2"/>
    <s v="No"/>
    <s v="Y"/>
    <n v="3"/>
    <n v="-2"/>
    <n v="0"/>
    <n v="57"/>
    <n v="0"/>
    <m/>
    <n v="0"/>
    <n v="1"/>
    <n v="210"/>
    <n v="29"/>
    <x v="3"/>
    <n v="1"/>
    <n v="1"/>
    <n v="56"/>
    <n v="2"/>
    <n v="4"/>
    <n v="1"/>
    <n v="14118"/>
    <n v="22102"/>
    <n v="3"/>
    <n v="12"/>
    <n v="3"/>
    <n v="3"/>
    <n v="80"/>
    <n v="1"/>
    <n v="32"/>
    <n v="2"/>
    <n v="1"/>
    <n v="0"/>
    <n v="0"/>
    <n v="0"/>
  </r>
  <r>
    <s v="No"/>
    <s v="Travel_Rarely"/>
    <x v="1"/>
    <s v="Current Employees"/>
    <x v="1"/>
    <x v="0"/>
    <x v="425"/>
    <x v="425"/>
    <x v="1"/>
    <x v="5"/>
    <x v="1"/>
    <s v="No"/>
    <s v="Y"/>
    <n v="2"/>
    <n v="-2"/>
    <n v="0"/>
    <n v="50"/>
    <n v="0"/>
    <m/>
    <n v="0"/>
    <n v="1"/>
    <n v="1099"/>
    <n v="29"/>
    <x v="2"/>
    <n v="1"/>
    <n v="2"/>
    <n v="88"/>
    <n v="2"/>
    <n v="4"/>
    <n v="2"/>
    <n v="17046"/>
    <n v="9314"/>
    <n v="0"/>
    <n v="15"/>
    <n v="3"/>
    <n v="2"/>
    <n v="80"/>
    <n v="1"/>
    <n v="28"/>
    <n v="3"/>
    <n v="27"/>
    <n v="10"/>
    <n v="15"/>
    <n v="7"/>
  </r>
  <r>
    <s v="No"/>
    <s v="Non-Travel"/>
    <x v="2"/>
    <s v="Current Employees"/>
    <x v="1"/>
    <x v="2"/>
    <x v="426"/>
    <x v="426"/>
    <x v="0"/>
    <x v="2"/>
    <x v="0"/>
    <s v="No"/>
    <s v="Y"/>
    <n v="2"/>
    <n v="-2"/>
    <n v="0"/>
    <n v="30"/>
    <n v="0"/>
    <m/>
    <n v="0"/>
    <n v="1"/>
    <n v="1116"/>
    <n v="2"/>
    <x v="3"/>
    <n v="1"/>
    <n v="3"/>
    <n v="49"/>
    <n v="3"/>
    <n v="1"/>
    <n v="4"/>
    <n v="2564"/>
    <n v="7181"/>
    <n v="0"/>
    <n v="14"/>
    <n v="3"/>
    <n v="3"/>
    <n v="80"/>
    <n v="0"/>
    <n v="12"/>
    <n v="2"/>
    <n v="11"/>
    <n v="7"/>
    <n v="6"/>
    <n v="7"/>
  </r>
  <r>
    <s v="No"/>
    <s v="Travel_Frequently"/>
    <x v="3"/>
    <s v="Current Employees"/>
    <x v="0"/>
    <x v="3"/>
    <x v="427"/>
    <x v="427"/>
    <x v="0"/>
    <x v="0"/>
    <x v="1"/>
    <s v="No"/>
    <s v="Y"/>
    <n v="5"/>
    <n v="-2"/>
    <n v="0"/>
    <n v="60"/>
    <n v="0"/>
    <m/>
    <n v="0"/>
    <n v="1"/>
    <n v="1499"/>
    <n v="28"/>
    <x v="3"/>
    <n v="1"/>
    <n v="3"/>
    <n v="80"/>
    <n v="2"/>
    <n v="3"/>
    <n v="1"/>
    <n v="10266"/>
    <n v="2845"/>
    <n v="4"/>
    <n v="19"/>
    <n v="3"/>
    <n v="4"/>
    <n v="80"/>
    <n v="0"/>
    <n v="22"/>
    <n v="4"/>
    <n v="18"/>
    <n v="13"/>
    <n v="13"/>
    <n v="11"/>
  </r>
  <r>
    <s v="No"/>
    <s v="Travel_Rarely"/>
    <x v="1"/>
    <s v="Current Employees"/>
    <x v="1"/>
    <x v="2"/>
    <x v="428"/>
    <x v="428"/>
    <x v="0"/>
    <x v="3"/>
    <x v="2"/>
    <s v="No"/>
    <s v="Y"/>
    <n v="2"/>
    <n v="-2"/>
    <n v="0"/>
    <n v="47"/>
    <n v="0"/>
    <m/>
    <n v="0"/>
    <n v="1"/>
    <n v="983"/>
    <n v="2"/>
    <x v="0"/>
    <n v="1"/>
    <n v="1"/>
    <n v="65"/>
    <n v="3"/>
    <n v="2"/>
    <n v="4"/>
    <n v="5070"/>
    <n v="7389"/>
    <n v="5"/>
    <n v="13"/>
    <n v="3"/>
    <n v="3"/>
    <n v="80"/>
    <n v="3"/>
    <n v="20"/>
    <n v="3"/>
    <n v="5"/>
    <n v="0"/>
    <n v="0"/>
    <n v="4"/>
  </r>
  <r>
    <s v="No"/>
    <s v="Travel_Rarely"/>
    <x v="1"/>
    <s v="Current Employees"/>
    <x v="1"/>
    <x v="0"/>
    <x v="429"/>
    <x v="429"/>
    <x v="1"/>
    <x v="7"/>
    <x v="1"/>
    <s v="No"/>
    <s v="Y"/>
    <n v="2"/>
    <n v="-2"/>
    <n v="0"/>
    <n v="46"/>
    <n v="0"/>
    <m/>
    <n v="0"/>
    <n v="1"/>
    <n v="1009"/>
    <n v="2"/>
    <x v="3"/>
    <n v="1"/>
    <n v="1"/>
    <n v="51"/>
    <n v="3"/>
    <n v="4"/>
    <n v="2"/>
    <n v="17861"/>
    <n v="2288"/>
    <n v="6"/>
    <n v="13"/>
    <n v="3"/>
    <n v="3"/>
    <n v="80"/>
    <n v="0"/>
    <n v="26"/>
    <n v="1"/>
    <n v="3"/>
    <n v="2"/>
    <n v="0"/>
    <n v="1"/>
  </r>
  <r>
    <s v="No"/>
    <s v="Travel_Rarely"/>
    <x v="0"/>
    <s v="Current Employees"/>
    <x v="1"/>
    <x v="0"/>
    <x v="430"/>
    <x v="430"/>
    <x v="1"/>
    <x v="2"/>
    <x v="0"/>
    <s v="No"/>
    <s v="Y"/>
    <n v="2"/>
    <n v="-2"/>
    <n v="0"/>
    <n v="35"/>
    <n v="0"/>
    <m/>
    <n v="0"/>
    <n v="1"/>
    <n v="144"/>
    <n v="22"/>
    <x v="3"/>
    <n v="1"/>
    <n v="4"/>
    <n v="46"/>
    <n v="1"/>
    <n v="1"/>
    <n v="2"/>
    <n v="4230"/>
    <n v="19225"/>
    <n v="0"/>
    <n v="15"/>
    <n v="3"/>
    <n v="3"/>
    <n v="80"/>
    <n v="0"/>
    <n v="6"/>
    <n v="3"/>
    <n v="5"/>
    <n v="4"/>
    <n v="4"/>
    <n v="3"/>
  </r>
  <r>
    <s v="No"/>
    <s v="Travel_Rarely"/>
    <x v="1"/>
    <s v="Current Employees"/>
    <x v="1"/>
    <x v="0"/>
    <x v="431"/>
    <x v="431"/>
    <x v="0"/>
    <x v="2"/>
    <x v="0"/>
    <s v="No"/>
    <s v="Y"/>
    <n v="3"/>
    <n v="-2"/>
    <n v="0"/>
    <n v="54"/>
    <n v="0"/>
    <m/>
    <n v="0"/>
    <n v="1"/>
    <n v="548"/>
    <n v="8"/>
    <x v="2"/>
    <n v="1"/>
    <n v="3"/>
    <n v="42"/>
    <n v="3"/>
    <n v="2"/>
    <n v="2"/>
    <n v="3780"/>
    <n v="23428"/>
    <n v="7"/>
    <n v="11"/>
    <n v="3"/>
    <n v="3"/>
    <n v="80"/>
    <n v="0"/>
    <n v="19"/>
    <n v="3"/>
    <n v="1"/>
    <n v="0"/>
    <n v="0"/>
    <n v="0"/>
  </r>
  <r>
    <s v="No"/>
    <s v="Travel_Rarely"/>
    <x v="2"/>
    <s v="Current Employees"/>
    <x v="1"/>
    <x v="0"/>
    <x v="432"/>
    <x v="432"/>
    <x v="1"/>
    <x v="1"/>
    <x v="2"/>
    <s v="No"/>
    <s v="Y"/>
    <n v="3"/>
    <n v="-2"/>
    <n v="0"/>
    <n v="34"/>
    <n v="0"/>
    <m/>
    <n v="0"/>
    <n v="1"/>
    <n v="1303"/>
    <n v="2"/>
    <x v="2"/>
    <n v="1"/>
    <n v="4"/>
    <n v="62"/>
    <n v="2"/>
    <n v="1"/>
    <n v="2"/>
    <n v="2768"/>
    <n v="8416"/>
    <n v="3"/>
    <n v="12"/>
    <n v="3"/>
    <n v="3"/>
    <n v="80"/>
    <n v="1"/>
    <n v="14"/>
    <n v="3"/>
    <n v="7"/>
    <n v="3"/>
    <n v="5"/>
    <n v="7"/>
  </r>
  <r>
    <s v="No"/>
    <s v="Travel_Rarely"/>
    <x v="1"/>
    <s v="Current Employees"/>
    <x v="0"/>
    <x v="3"/>
    <x v="433"/>
    <x v="433"/>
    <x v="0"/>
    <x v="0"/>
    <x v="1"/>
    <s v="Yes"/>
    <s v="Y"/>
    <n v="3"/>
    <n v="-2"/>
    <n v="0"/>
    <n v="46"/>
    <n v="0"/>
    <m/>
    <n v="0"/>
    <n v="1"/>
    <n v="1125"/>
    <n v="10"/>
    <x v="3"/>
    <n v="1"/>
    <n v="3"/>
    <n v="94"/>
    <n v="2"/>
    <n v="3"/>
    <n v="1"/>
    <n v="9071"/>
    <n v="11563"/>
    <n v="2"/>
    <n v="19"/>
    <n v="3"/>
    <n v="3"/>
    <n v="80"/>
    <n v="1"/>
    <n v="15"/>
    <n v="3"/>
    <n v="3"/>
    <n v="2"/>
    <n v="1"/>
    <n v="2"/>
  </r>
  <r>
    <s v="No"/>
    <s v="Travel_Rarely"/>
    <x v="2"/>
    <s v="Current Employees"/>
    <x v="1"/>
    <x v="0"/>
    <x v="434"/>
    <x v="434"/>
    <x v="1"/>
    <x v="3"/>
    <x v="2"/>
    <s v="No"/>
    <s v="Y"/>
    <n v="6"/>
    <n v="-2"/>
    <n v="0"/>
    <n v="31"/>
    <n v="0"/>
    <m/>
    <n v="0"/>
    <n v="1"/>
    <n v="1274"/>
    <n v="9"/>
    <x v="1"/>
    <n v="1"/>
    <n v="3"/>
    <n v="33"/>
    <n v="3"/>
    <n v="3"/>
    <n v="2"/>
    <n v="10648"/>
    <n v="14394"/>
    <n v="1"/>
    <n v="25"/>
    <n v="4"/>
    <n v="4"/>
    <n v="80"/>
    <n v="1"/>
    <n v="13"/>
    <n v="4"/>
    <n v="13"/>
    <n v="8"/>
    <n v="0"/>
    <n v="8"/>
  </r>
  <r>
    <s v="Yes"/>
    <s v="Travel_Rarely"/>
    <x v="2"/>
    <s v="Ex-Employees"/>
    <x v="1"/>
    <x v="2"/>
    <x v="435"/>
    <x v="435"/>
    <x v="1"/>
    <x v="5"/>
    <x v="1"/>
    <s v="Yes"/>
    <s v="Y"/>
    <n v="2"/>
    <n v="-2"/>
    <n v="0"/>
    <n v="33"/>
    <n v="1"/>
    <n v="1"/>
    <n v="1"/>
    <n v="0"/>
    <n v="1277"/>
    <n v="15"/>
    <x v="1"/>
    <n v="1"/>
    <n v="2"/>
    <n v="56"/>
    <n v="3"/>
    <n v="3"/>
    <n v="3"/>
    <n v="13610"/>
    <n v="24619"/>
    <n v="7"/>
    <n v="12"/>
    <n v="3"/>
    <n v="4"/>
    <n v="80"/>
    <n v="0"/>
    <n v="15"/>
    <n v="4"/>
    <n v="7"/>
    <n v="6"/>
    <n v="7"/>
    <n v="7"/>
  </r>
  <r>
    <s v="Yes"/>
    <s v="Travel_Rarely"/>
    <x v="2"/>
    <s v="Ex-Employees"/>
    <x v="1"/>
    <x v="2"/>
    <x v="436"/>
    <x v="436"/>
    <x v="1"/>
    <x v="2"/>
    <x v="2"/>
    <s v="No"/>
    <s v="Y"/>
    <n v="2"/>
    <n v="-2"/>
    <n v="0"/>
    <n v="33"/>
    <n v="1"/>
    <n v="1"/>
    <n v="1"/>
    <n v="0"/>
    <n v="587"/>
    <n v="10"/>
    <x v="1"/>
    <n v="1"/>
    <n v="1"/>
    <n v="38"/>
    <n v="1"/>
    <n v="1"/>
    <n v="4"/>
    <n v="3408"/>
    <n v="6705"/>
    <n v="7"/>
    <n v="13"/>
    <n v="3"/>
    <n v="1"/>
    <n v="80"/>
    <n v="3"/>
    <n v="8"/>
    <n v="3"/>
    <n v="4"/>
    <n v="3"/>
    <n v="1"/>
    <n v="3"/>
  </r>
  <r>
    <s v="No"/>
    <s v="Travel_Rarely"/>
    <x v="2"/>
    <s v="Current Employees"/>
    <x v="0"/>
    <x v="3"/>
    <x v="437"/>
    <x v="437"/>
    <x v="1"/>
    <x v="6"/>
    <x v="0"/>
    <s v="No"/>
    <s v="Y"/>
    <n v="3"/>
    <n v="-2"/>
    <n v="0"/>
    <n v="30"/>
    <n v="0"/>
    <m/>
    <n v="0"/>
    <n v="1"/>
    <n v="413"/>
    <n v="7"/>
    <x v="1"/>
    <n v="1"/>
    <n v="4"/>
    <n v="57"/>
    <n v="3"/>
    <n v="1"/>
    <n v="1"/>
    <n v="2983"/>
    <n v="18398"/>
    <n v="0"/>
    <n v="14"/>
    <n v="3"/>
    <n v="1"/>
    <n v="80"/>
    <n v="0"/>
    <n v="4"/>
    <n v="3"/>
    <n v="3"/>
    <n v="2"/>
    <n v="1"/>
    <n v="2"/>
  </r>
  <r>
    <s v="No"/>
    <s v="Travel_Rarely"/>
    <x v="0"/>
    <s v="Current Employees"/>
    <x v="1"/>
    <x v="0"/>
    <x v="438"/>
    <x v="438"/>
    <x v="1"/>
    <x v="4"/>
    <x v="1"/>
    <s v="Yes"/>
    <s v="Y"/>
    <n v="2"/>
    <n v="-2"/>
    <n v="0"/>
    <n v="35"/>
    <n v="0"/>
    <m/>
    <n v="0"/>
    <n v="1"/>
    <n v="1276"/>
    <n v="16"/>
    <x v="3"/>
    <n v="1"/>
    <n v="4"/>
    <n v="72"/>
    <n v="3"/>
    <n v="3"/>
    <n v="2"/>
    <n v="7632"/>
    <n v="14295"/>
    <n v="4"/>
    <n v="12"/>
    <n v="3"/>
    <n v="3"/>
    <n v="80"/>
    <n v="0"/>
    <n v="10"/>
    <n v="3"/>
    <n v="8"/>
    <n v="7"/>
    <n v="0"/>
    <n v="0"/>
  </r>
  <r>
    <s v="Yes"/>
    <s v="Travel_Frequently"/>
    <x v="2"/>
    <s v="Ex-Employees"/>
    <x v="1"/>
    <x v="0"/>
    <x v="439"/>
    <x v="439"/>
    <x v="1"/>
    <x v="4"/>
    <x v="1"/>
    <s v="No"/>
    <s v="Y"/>
    <n v="2"/>
    <n v="-2"/>
    <n v="0"/>
    <n v="31"/>
    <n v="1"/>
    <n v="1"/>
    <n v="1"/>
    <n v="0"/>
    <n v="534"/>
    <n v="20"/>
    <x v="3"/>
    <n v="1"/>
    <n v="1"/>
    <n v="66"/>
    <n v="3"/>
    <n v="3"/>
    <n v="2"/>
    <n v="9824"/>
    <n v="22908"/>
    <n v="3"/>
    <n v="12"/>
    <n v="3"/>
    <n v="1"/>
    <n v="80"/>
    <n v="0"/>
    <n v="12"/>
    <n v="3"/>
    <n v="1"/>
    <n v="0"/>
    <n v="0"/>
    <n v="0"/>
  </r>
  <r>
    <s v="Yes"/>
    <s v="Travel_Frequently"/>
    <x v="2"/>
    <s v="Ex-Employees"/>
    <x v="2"/>
    <x v="5"/>
    <x v="440"/>
    <x v="440"/>
    <x v="0"/>
    <x v="8"/>
    <x v="2"/>
    <s v="Yes"/>
    <s v="Y"/>
    <n v="2"/>
    <n v="-2"/>
    <n v="0"/>
    <n v="34"/>
    <n v="1"/>
    <n v="1"/>
    <n v="1"/>
    <n v="0"/>
    <n v="988"/>
    <n v="23"/>
    <x v="3"/>
    <n v="1"/>
    <n v="2"/>
    <n v="43"/>
    <n v="3"/>
    <n v="3"/>
    <n v="3"/>
    <n v="9950"/>
    <n v="11533"/>
    <n v="9"/>
    <n v="15"/>
    <n v="3"/>
    <n v="3"/>
    <n v="80"/>
    <n v="3"/>
    <n v="11"/>
    <n v="3"/>
    <n v="3"/>
    <n v="2"/>
    <n v="0"/>
    <n v="2"/>
  </r>
  <r>
    <s v="No"/>
    <s v="Travel_Frequently"/>
    <x v="0"/>
    <s v="Current Employees"/>
    <x v="1"/>
    <x v="1"/>
    <x v="441"/>
    <x v="441"/>
    <x v="1"/>
    <x v="2"/>
    <x v="1"/>
    <s v="No"/>
    <s v="Y"/>
    <n v="4"/>
    <n v="-2"/>
    <n v="0"/>
    <n v="42"/>
    <n v="0"/>
    <m/>
    <n v="0"/>
    <n v="1"/>
    <n v="1474"/>
    <n v="5"/>
    <x v="0"/>
    <n v="1"/>
    <n v="2"/>
    <n v="97"/>
    <n v="3"/>
    <n v="1"/>
    <n v="3"/>
    <n v="2093"/>
    <n v="9260"/>
    <n v="4"/>
    <n v="17"/>
    <n v="3"/>
    <n v="4"/>
    <n v="80"/>
    <n v="1"/>
    <n v="8"/>
    <n v="3"/>
    <n v="2"/>
    <n v="2"/>
    <n v="2"/>
    <n v="0"/>
  </r>
  <r>
    <s v="No"/>
    <s v="Non-Travel"/>
    <x v="0"/>
    <s v="Current Employees"/>
    <x v="0"/>
    <x v="2"/>
    <x v="442"/>
    <x v="442"/>
    <x v="1"/>
    <x v="0"/>
    <x v="0"/>
    <s v="No"/>
    <s v="Y"/>
    <n v="3"/>
    <n v="-2"/>
    <n v="0"/>
    <n v="36"/>
    <n v="0"/>
    <m/>
    <n v="0"/>
    <n v="1"/>
    <n v="635"/>
    <n v="10"/>
    <x v="2"/>
    <n v="1"/>
    <n v="2"/>
    <n v="32"/>
    <n v="3"/>
    <n v="3"/>
    <n v="4"/>
    <n v="9980"/>
    <n v="15318"/>
    <n v="1"/>
    <n v="14"/>
    <n v="3"/>
    <n v="4"/>
    <n v="80"/>
    <n v="0"/>
    <n v="10"/>
    <n v="2"/>
    <n v="10"/>
    <n v="3"/>
    <n v="9"/>
    <n v="7"/>
  </r>
  <r>
    <s v="Yes"/>
    <s v="Travel_Frequently"/>
    <x v="4"/>
    <s v="Ex-Employees"/>
    <x v="1"/>
    <x v="4"/>
    <x v="443"/>
    <x v="443"/>
    <x v="1"/>
    <x v="2"/>
    <x v="0"/>
    <s v="No"/>
    <s v="Y"/>
    <n v="3"/>
    <n v="-2"/>
    <n v="0"/>
    <n v="22"/>
    <n v="1"/>
    <n v="1"/>
    <n v="1"/>
    <n v="0"/>
    <n v="1368"/>
    <n v="4"/>
    <x v="1"/>
    <n v="1"/>
    <n v="4"/>
    <n v="99"/>
    <n v="2"/>
    <n v="1"/>
    <n v="4"/>
    <n v="3894"/>
    <n v="9129"/>
    <n v="5"/>
    <n v="16"/>
    <n v="3"/>
    <n v="3"/>
    <n v="80"/>
    <n v="0"/>
    <n v="4"/>
    <n v="3"/>
    <n v="2"/>
    <n v="2"/>
    <n v="1"/>
    <n v="2"/>
  </r>
  <r>
    <s v="No"/>
    <s v="Travel_Rarely"/>
    <x v="1"/>
    <s v="Current Employees"/>
    <x v="0"/>
    <x v="3"/>
    <x v="444"/>
    <x v="444"/>
    <x v="0"/>
    <x v="0"/>
    <x v="1"/>
    <s v="No"/>
    <s v="Y"/>
    <n v="2"/>
    <n v="-2"/>
    <n v="0"/>
    <n v="48"/>
    <n v="0"/>
    <m/>
    <n v="0"/>
    <n v="1"/>
    <n v="163"/>
    <n v="2"/>
    <x v="4"/>
    <n v="1"/>
    <n v="2"/>
    <n v="37"/>
    <n v="3"/>
    <n v="2"/>
    <n v="1"/>
    <n v="4051"/>
    <n v="19658"/>
    <n v="2"/>
    <n v="14"/>
    <n v="3"/>
    <n v="1"/>
    <n v="80"/>
    <n v="1"/>
    <n v="14"/>
    <n v="3"/>
    <n v="9"/>
    <n v="7"/>
    <n v="6"/>
    <n v="7"/>
  </r>
  <r>
    <s v="No"/>
    <s v="Travel_Rarely"/>
    <x v="3"/>
    <s v="Current Employees"/>
    <x v="0"/>
    <x v="0"/>
    <x v="445"/>
    <x v="445"/>
    <x v="0"/>
    <x v="5"/>
    <x v="0"/>
    <s v="No"/>
    <s v="Y"/>
    <n v="2"/>
    <n v="-2"/>
    <n v="0"/>
    <n v="55"/>
    <n v="0"/>
    <m/>
    <n v="0"/>
    <n v="1"/>
    <n v="1117"/>
    <n v="18"/>
    <x v="4"/>
    <n v="1"/>
    <n v="1"/>
    <n v="83"/>
    <n v="3"/>
    <n v="4"/>
    <n v="2"/>
    <n v="16835"/>
    <n v="9873"/>
    <n v="3"/>
    <n v="23"/>
    <n v="4"/>
    <n v="4"/>
    <n v="80"/>
    <n v="0"/>
    <n v="37"/>
    <n v="3"/>
    <n v="10"/>
    <n v="9"/>
    <n v="7"/>
    <n v="7"/>
  </r>
  <r>
    <s v="No"/>
    <s v="Non-Travel"/>
    <x v="0"/>
    <s v="Current Employees"/>
    <x v="0"/>
    <x v="0"/>
    <x v="446"/>
    <x v="446"/>
    <x v="1"/>
    <x v="0"/>
    <x v="0"/>
    <s v="No"/>
    <s v="Y"/>
    <n v="3"/>
    <n v="-2"/>
    <n v="0"/>
    <n v="41"/>
    <n v="0"/>
    <m/>
    <n v="0"/>
    <n v="1"/>
    <n v="267"/>
    <n v="10"/>
    <x v="0"/>
    <n v="1"/>
    <n v="4"/>
    <n v="56"/>
    <n v="3"/>
    <n v="2"/>
    <n v="2"/>
    <n v="6230"/>
    <n v="13430"/>
    <n v="7"/>
    <n v="14"/>
    <n v="3"/>
    <n v="4"/>
    <n v="80"/>
    <n v="0"/>
    <n v="16"/>
    <n v="3"/>
    <n v="14"/>
    <n v="3"/>
    <n v="1"/>
    <n v="10"/>
  </r>
  <r>
    <s v="No"/>
    <s v="Travel_Rarely"/>
    <x v="0"/>
    <s v="Current Employees"/>
    <x v="0"/>
    <x v="3"/>
    <x v="447"/>
    <x v="447"/>
    <x v="1"/>
    <x v="0"/>
    <x v="1"/>
    <s v="No"/>
    <s v="Y"/>
    <n v="2"/>
    <n v="-2"/>
    <n v="0"/>
    <n v="35"/>
    <n v="0"/>
    <m/>
    <n v="0"/>
    <n v="1"/>
    <n v="619"/>
    <n v="1"/>
    <x v="3"/>
    <n v="1"/>
    <n v="2"/>
    <n v="85"/>
    <n v="3"/>
    <n v="2"/>
    <n v="1"/>
    <n v="4717"/>
    <n v="18659"/>
    <n v="9"/>
    <n v="11"/>
    <n v="3"/>
    <n v="3"/>
    <n v="80"/>
    <n v="0"/>
    <n v="15"/>
    <n v="3"/>
    <n v="11"/>
    <n v="9"/>
    <n v="6"/>
    <n v="9"/>
  </r>
  <r>
    <s v="No"/>
    <s v="Travel_Rarely"/>
    <x v="0"/>
    <s v="Current Employees"/>
    <x v="1"/>
    <x v="0"/>
    <x v="448"/>
    <x v="448"/>
    <x v="0"/>
    <x v="3"/>
    <x v="0"/>
    <s v="No"/>
    <s v="Y"/>
    <n v="3"/>
    <n v="-2"/>
    <n v="0"/>
    <n v="40"/>
    <n v="0"/>
    <m/>
    <n v="0"/>
    <n v="1"/>
    <n v="302"/>
    <n v="6"/>
    <x v="3"/>
    <n v="1"/>
    <n v="2"/>
    <n v="75"/>
    <n v="3"/>
    <n v="4"/>
    <n v="2"/>
    <n v="13237"/>
    <n v="20364"/>
    <n v="7"/>
    <n v="15"/>
    <n v="3"/>
    <n v="3"/>
    <n v="80"/>
    <n v="0"/>
    <n v="22"/>
    <n v="3"/>
    <n v="20"/>
    <n v="6"/>
    <n v="5"/>
    <n v="13"/>
  </r>
  <r>
    <s v="No"/>
    <s v="Travel_Frequently"/>
    <x v="0"/>
    <s v="Current Employees"/>
    <x v="1"/>
    <x v="0"/>
    <x v="449"/>
    <x v="449"/>
    <x v="0"/>
    <x v="2"/>
    <x v="1"/>
    <s v="No"/>
    <s v="Y"/>
    <n v="3"/>
    <n v="-2"/>
    <n v="0"/>
    <n v="39"/>
    <n v="0"/>
    <m/>
    <n v="0"/>
    <n v="1"/>
    <n v="443"/>
    <n v="8"/>
    <x v="1"/>
    <n v="1"/>
    <n v="3"/>
    <n v="48"/>
    <n v="3"/>
    <n v="1"/>
    <n v="2"/>
    <n v="3755"/>
    <n v="17872"/>
    <n v="1"/>
    <n v="11"/>
    <n v="3"/>
    <n v="1"/>
    <n v="80"/>
    <n v="1"/>
    <n v="8"/>
    <n v="3"/>
    <n v="8"/>
    <n v="3"/>
    <n v="0"/>
    <n v="7"/>
  </r>
  <r>
    <s v="No"/>
    <s v="Travel_Rarely"/>
    <x v="2"/>
    <s v="Current Employees"/>
    <x v="0"/>
    <x v="0"/>
    <x v="450"/>
    <x v="450"/>
    <x v="1"/>
    <x v="0"/>
    <x v="0"/>
    <s v="Yes"/>
    <s v="Y"/>
    <n v="2"/>
    <n v="-2"/>
    <n v="0"/>
    <n v="31"/>
    <n v="0"/>
    <m/>
    <n v="0"/>
    <n v="1"/>
    <n v="828"/>
    <n v="2"/>
    <x v="1"/>
    <n v="1"/>
    <n v="2"/>
    <n v="77"/>
    <n v="3"/>
    <n v="2"/>
    <n v="2"/>
    <n v="6582"/>
    <n v="8346"/>
    <n v="4"/>
    <n v="13"/>
    <n v="3"/>
    <n v="3"/>
    <n v="80"/>
    <n v="0"/>
    <n v="10"/>
    <n v="4"/>
    <n v="6"/>
    <n v="5"/>
    <n v="0"/>
    <n v="5"/>
  </r>
  <r>
    <s v="No"/>
    <s v="Travel_Rarely"/>
    <x v="0"/>
    <s v="Current Employees"/>
    <x v="1"/>
    <x v="2"/>
    <x v="451"/>
    <x v="451"/>
    <x v="1"/>
    <x v="3"/>
    <x v="1"/>
    <s v="Yes"/>
    <s v="Y"/>
    <n v="5"/>
    <n v="-2"/>
    <n v="0"/>
    <n v="42"/>
    <n v="0"/>
    <m/>
    <n v="0"/>
    <n v="1"/>
    <n v="319"/>
    <n v="24"/>
    <x v="3"/>
    <n v="1"/>
    <n v="4"/>
    <n v="56"/>
    <n v="3"/>
    <n v="3"/>
    <n v="3"/>
    <n v="7406"/>
    <n v="6950"/>
    <n v="1"/>
    <n v="21"/>
    <n v="4"/>
    <n v="4"/>
    <n v="80"/>
    <n v="1"/>
    <n v="10"/>
    <n v="2"/>
    <n v="10"/>
    <n v="9"/>
    <n v="5"/>
    <n v="8"/>
  </r>
  <r>
    <s v="No"/>
    <s v="Travel_Rarely"/>
    <x v="1"/>
    <s v="Current Employees"/>
    <x v="0"/>
    <x v="1"/>
    <x v="452"/>
    <x v="452"/>
    <x v="1"/>
    <x v="0"/>
    <x v="1"/>
    <s v="No"/>
    <s v="Y"/>
    <n v="3"/>
    <n v="-2"/>
    <n v="0"/>
    <n v="45"/>
    <n v="0"/>
    <m/>
    <n v="0"/>
    <n v="1"/>
    <n v="561"/>
    <n v="2"/>
    <x v="3"/>
    <n v="1"/>
    <n v="4"/>
    <n v="61"/>
    <n v="3"/>
    <n v="2"/>
    <n v="3"/>
    <n v="4805"/>
    <n v="16177"/>
    <n v="0"/>
    <n v="19"/>
    <n v="3"/>
    <n v="2"/>
    <n v="80"/>
    <n v="1"/>
    <n v="9"/>
    <n v="4"/>
    <n v="8"/>
    <n v="7"/>
    <n v="3"/>
    <n v="7"/>
  </r>
  <r>
    <s v="Yes"/>
    <s v="Travel_Frequently"/>
    <x v="2"/>
    <s v="Ex-Employees"/>
    <x v="2"/>
    <x v="0"/>
    <x v="453"/>
    <x v="453"/>
    <x v="0"/>
    <x v="8"/>
    <x v="2"/>
    <s v="Yes"/>
    <s v="Y"/>
    <n v="2"/>
    <n v="-2"/>
    <n v="0"/>
    <n v="26"/>
    <n v="1"/>
    <n v="1"/>
    <n v="1"/>
    <n v="0"/>
    <n v="426"/>
    <n v="17"/>
    <x v="2"/>
    <n v="1"/>
    <n v="2"/>
    <n v="58"/>
    <n v="3"/>
    <n v="1"/>
    <n v="2"/>
    <n v="2741"/>
    <n v="22808"/>
    <n v="0"/>
    <n v="11"/>
    <n v="3"/>
    <n v="2"/>
    <n v="80"/>
    <n v="1"/>
    <n v="8"/>
    <n v="2"/>
    <n v="7"/>
    <n v="7"/>
    <n v="1"/>
    <n v="0"/>
  </r>
  <r>
    <s v="No"/>
    <s v="Travel_Rarely"/>
    <x v="2"/>
    <s v="Current Employees"/>
    <x v="1"/>
    <x v="4"/>
    <x v="454"/>
    <x v="454"/>
    <x v="1"/>
    <x v="3"/>
    <x v="2"/>
    <s v="No"/>
    <s v="Y"/>
    <n v="2"/>
    <n v="-2"/>
    <n v="0"/>
    <n v="29"/>
    <n v="0"/>
    <m/>
    <n v="0"/>
    <n v="1"/>
    <n v="232"/>
    <n v="19"/>
    <x v="3"/>
    <n v="1"/>
    <n v="4"/>
    <n v="34"/>
    <n v="3"/>
    <n v="2"/>
    <n v="4"/>
    <n v="4262"/>
    <n v="22645"/>
    <n v="4"/>
    <n v="12"/>
    <n v="3"/>
    <n v="2"/>
    <n v="80"/>
    <n v="2"/>
    <n v="8"/>
    <n v="4"/>
    <n v="3"/>
    <n v="2"/>
    <n v="1"/>
    <n v="2"/>
  </r>
  <r>
    <s v="No"/>
    <s v="Travel_Rarely"/>
    <x v="2"/>
    <s v="Current Employees"/>
    <x v="1"/>
    <x v="2"/>
    <x v="455"/>
    <x v="455"/>
    <x v="0"/>
    <x v="7"/>
    <x v="2"/>
    <s v="No"/>
    <s v="Y"/>
    <n v="2"/>
    <n v="-2"/>
    <n v="0"/>
    <n v="33"/>
    <n v="0"/>
    <m/>
    <n v="0"/>
    <n v="1"/>
    <n v="922"/>
    <n v="1"/>
    <x v="4"/>
    <n v="1"/>
    <n v="1"/>
    <n v="95"/>
    <n v="4"/>
    <n v="4"/>
    <n v="3"/>
    <n v="16184"/>
    <n v="22578"/>
    <n v="4"/>
    <n v="19"/>
    <n v="3"/>
    <n v="3"/>
    <n v="80"/>
    <n v="1"/>
    <n v="10"/>
    <n v="3"/>
    <n v="6"/>
    <n v="1"/>
    <n v="0"/>
    <n v="5"/>
  </r>
  <r>
    <s v="No"/>
    <s v="Travel_Rarely"/>
    <x v="2"/>
    <s v="Current Employees"/>
    <x v="0"/>
    <x v="0"/>
    <x v="456"/>
    <x v="456"/>
    <x v="1"/>
    <x v="5"/>
    <x v="2"/>
    <s v="No"/>
    <s v="Y"/>
    <n v="3"/>
    <n v="-2"/>
    <n v="0"/>
    <n v="31"/>
    <n v="0"/>
    <m/>
    <n v="0"/>
    <n v="1"/>
    <n v="688"/>
    <n v="7"/>
    <x v="3"/>
    <n v="1"/>
    <n v="3"/>
    <n v="44"/>
    <n v="2"/>
    <n v="3"/>
    <n v="2"/>
    <n v="11557"/>
    <n v="25291"/>
    <n v="9"/>
    <n v="21"/>
    <n v="4"/>
    <n v="3"/>
    <n v="80"/>
    <n v="1"/>
    <n v="10"/>
    <n v="2"/>
    <n v="5"/>
    <n v="4"/>
    <n v="0"/>
    <n v="1"/>
  </r>
  <r>
    <s v="Yes"/>
    <s v="Travel_Frequently"/>
    <x v="4"/>
    <s v="Ex-Employees"/>
    <x v="0"/>
    <x v="3"/>
    <x v="457"/>
    <x v="457"/>
    <x v="1"/>
    <x v="6"/>
    <x v="0"/>
    <s v="Yes"/>
    <s v="Y"/>
    <n v="3"/>
    <n v="-2"/>
    <n v="0"/>
    <n v="18"/>
    <n v="1"/>
    <n v="1"/>
    <n v="1"/>
    <n v="0"/>
    <n v="1306"/>
    <n v="5"/>
    <x v="3"/>
    <n v="1"/>
    <n v="2"/>
    <n v="69"/>
    <n v="3"/>
    <n v="1"/>
    <n v="1"/>
    <n v="1878"/>
    <n v="8059"/>
    <n v="1"/>
    <n v="14"/>
    <n v="3"/>
    <n v="4"/>
    <n v="80"/>
    <n v="0"/>
    <n v="0"/>
    <n v="3"/>
    <n v="0"/>
    <n v="0"/>
    <n v="0"/>
    <n v="0"/>
  </r>
  <r>
    <s v="No"/>
    <s v="Non-Travel"/>
    <x v="0"/>
    <s v="Current Employees"/>
    <x v="0"/>
    <x v="1"/>
    <x v="458"/>
    <x v="458"/>
    <x v="1"/>
    <x v="0"/>
    <x v="2"/>
    <s v="No"/>
    <s v="Y"/>
    <n v="2"/>
    <n v="-2"/>
    <n v="0"/>
    <n v="40"/>
    <n v="0"/>
    <m/>
    <n v="0"/>
    <n v="1"/>
    <n v="1094"/>
    <n v="28"/>
    <x v="3"/>
    <n v="1"/>
    <n v="3"/>
    <n v="58"/>
    <n v="1"/>
    <n v="3"/>
    <n v="3"/>
    <n v="10932"/>
    <n v="11373"/>
    <n v="3"/>
    <n v="15"/>
    <n v="3"/>
    <n v="3"/>
    <n v="80"/>
    <n v="1"/>
    <n v="20"/>
    <n v="3"/>
    <n v="1"/>
    <n v="0"/>
    <n v="0"/>
    <n v="1"/>
  </r>
  <r>
    <s v="No"/>
    <s v="Non-Travel"/>
    <x v="0"/>
    <s v="Current Employees"/>
    <x v="1"/>
    <x v="1"/>
    <x v="459"/>
    <x v="459"/>
    <x v="0"/>
    <x v="4"/>
    <x v="0"/>
    <s v="Yes"/>
    <s v="Y"/>
    <n v="3"/>
    <n v="-2"/>
    <n v="0"/>
    <n v="41"/>
    <n v="0"/>
    <m/>
    <n v="0"/>
    <n v="1"/>
    <n v="509"/>
    <n v="2"/>
    <x v="2"/>
    <n v="1"/>
    <n v="1"/>
    <n v="62"/>
    <n v="2"/>
    <n v="2"/>
    <n v="3"/>
    <n v="6811"/>
    <n v="2112"/>
    <n v="2"/>
    <n v="17"/>
    <n v="3"/>
    <n v="1"/>
    <n v="80"/>
    <n v="0"/>
    <n v="10"/>
    <n v="3"/>
    <n v="8"/>
    <n v="7"/>
    <n v="0"/>
    <n v="7"/>
  </r>
  <r>
    <s v="No"/>
    <s v="Travel_Rarely"/>
    <x v="2"/>
    <s v="Current Employees"/>
    <x v="0"/>
    <x v="2"/>
    <x v="460"/>
    <x v="460"/>
    <x v="1"/>
    <x v="0"/>
    <x v="2"/>
    <s v="No"/>
    <s v="Y"/>
    <n v="5"/>
    <n v="-2"/>
    <n v="0"/>
    <n v="26"/>
    <n v="0"/>
    <m/>
    <n v="0"/>
    <n v="1"/>
    <n v="775"/>
    <n v="29"/>
    <x v="0"/>
    <n v="1"/>
    <n v="1"/>
    <n v="45"/>
    <n v="3"/>
    <n v="2"/>
    <n v="3"/>
    <n v="4306"/>
    <n v="4267"/>
    <n v="5"/>
    <n v="12"/>
    <n v="3"/>
    <n v="1"/>
    <n v="80"/>
    <n v="2"/>
    <n v="8"/>
    <n v="3"/>
    <n v="0"/>
    <n v="0"/>
    <n v="0"/>
    <n v="0"/>
  </r>
  <r>
    <s v="No"/>
    <s v="Travel_Rarely"/>
    <x v="0"/>
    <s v="Current Employees"/>
    <x v="0"/>
    <x v="2"/>
    <x v="461"/>
    <x v="461"/>
    <x v="0"/>
    <x v="0"/>
    <x v="0"/>
    <s v="No"/>
    <s v="Y"/>
    <n v="3"/>
    <n v="-2"/>
    <n v="0"/>
    <n v="35"/>
    <n v="0"/>
    <m/>
    <n v="0"/>
    <n v="1"/>
    <n v="195"/>
    <n v="1"/>
    <x v="3"/>
    <n v="1"/>
    <n v="1"/>
    <n v="80"/>
    <n v="3"/>
    <n v="2"/>
    <n v="3"/>
    <n v="4859"/>
    <n v="6698"/>
    <n v="1"/>
    <n v="16"/>
    <n v="3"/>
    <n v="4"/>
    <n v="80"/>
    <n v="0"/>
    <n v="5"/>
    <n v="3"/>
    <n v="5"/>
    <n v="4"/>
    <n v="0"/>
    <n v="3"/>
  </r>
  <r>
    <s v="No"/>
    <s v="Travel_Rarely"/>
    <x v="2"/>
    <s v="Current Employees"/>
    <x v="0"/>
    <x v="0"/>
    <x v="462"/>
    <x v="462"/>
    <x v="1"/>
    <x v="0"/>
    <x v="0"/>
    <s v="No"/>
    <s v="Y"/>
    <n v="3"/>
    <n v="-2"/>
    <n v="0"/>
    <n v="34"/>
    <n v="0"/>
    <m/>
    <n v="0"/>
    <n v="1"/>
    <n v="258"/>
    <n v="21"/>
    <x v="2"/>
    <n v="1"/>
    <n v="4"/>
    <n v="74"/>
    <n v="4"/>
    <n v="2"/>
    <n v="2"/>
    <n v="5337"/>
    <n v="19921"/>
    <n v="1"/>
    <n v="12"/>
    <n v="3"/>
    <n v="4"/>
    <n v="80"/>
    <n v="0"/>
    <n v="10"/>
    <n v="3"/>
    <n v="10"/>
    <n v="7"/>
    <n v="5"/>
    <n v="7"/>
  </r>
  <r>
    <s v="Yes"/>
    <s v="Travel_Rarely"/>
    <x v="2"/>
    <s v="Ex-Employees"/>
    <x v="1"/>
    <x v="4"/>
    <x v="463"/>
    <x v="463"/>
    <x v="1"/>
    <x v="2"/>
    <x v="0"/>
    <s v="Yes"/>
    <s v="Y"/>
    <n v="3"/>
    <n v="-2"/>
    <n v="0"/>
    <n v="26"/>
    <n v="1"/>
    <n v="1"/>
    <n v="1"/>
    <n v="0"/>
    <n v="471"/>
    <n v="24"/>
    <x v="3"/>
    <n v="1"/>
    <n v="4"/>
    <n v="66"/>
    <n v="1"/>
    <n v="1"/>
    <n v="4"/>
    <n v="2340"/>
    <n v="23213"/>
    <n v="1"/>
    <n v="18"/>
    <n v="3"/>
    <n v="2"/>
    <n v="80"/>
    <n v="0"/>
    <n v="1"/>
    <n v="1"/>
    <n v="1"/>
    <n v="0"/>
    <n v="0"/>
    <n v="0"/>
  </r>
  <r>
    <s v="No"/>
    <s v="Travel_Rarely"/>
    <x v="0"/>
    <s v="Current Employees"/>
    <x v="1"/>
    <x v="4"/>
    <x v="464"/>
    <x v="464"/>
    <x v="0"/>
    <x v="3"/>
    <x v="0"/>
    <s v="No"/>
    <s v="Y"/>
    <n v="3"/>
    <n v="-2"/>
    <n v="0"/>
    <n v="37"/>
    <n v="0"/>
    <m/>
    <n v="0"/>
    <n v="1"/>
    <n v="799"/>
    <n v="1"/>
    <x v="3"/>
    <n v="1"/>
    <n v="4"/>
    <n v="59"/>
    <n v="3"/>
    <n v="3"/>
    <n v="4"/>
    <n v="7491"/>
    <n v="23848"/>
    <n v="4"/>
    <n v="17"/>
    <n v="3"/>
    <n v="4"/>
    <n v="80"/>
    <n v="0"/>
    <n v="12"/>
    <n v="4"/>
    <n v="6"/>
    <n v="5"/>
    <n v="1"/>
    <n v="2"/>
  </r>
  <r>
    <s v="No"/>
    <s v="Travel_Frequently"/>
    <x v="1"/>
    <s v="Current Employees"/>
    <x v="1"/>
    <x v="2"/>
    <x v="465"/>
    <x v="465"/>
    <x v="0"/>
    <x v="4"/>
    <x v="1"/>
    <s v="No"/>
    <s v="Y"/>
    <n v="3"/>
    <n v="-2"/>
    <n v="0"/>
    <n v="46"/>
    <n v="0"/>
    <m/>
    <n v="0"/>
    <n v="1"/>
    <n v="1034"/>
    <n v="18"/>
    <x v="1"/>
    <n v="1"/>
    <n v="1"/>
    <n v="86"/>
    <n v="3"/>
    <n v="3"/>
    <n v="3"/>
    <n v="10527"/>
    <n v="8984"/>
    <n v="5"/>
    <n v="11"/>
    <n v="3"/>
    <n v="4"/>
    <n v="80"/>
    <n v="0"/>
    <n v="28"/>
    <n v="2"/>
    <n v="2"/>
    <n v="2"/>
    <n v="1"/>
    <n v="2"/>
  </r>
  <r>
    <s v="No"/>
    <s v="Travel_Rarely"/>
    <x v="0"/>
    <s v="Current Employees"/>
    <x v="0"/>
    <x v="0"/>
    <x v="466"/>
    <x v="466"/>
    <x v="0"/>
    <x v="5"/>
    <x v="1"/>
    <s v="No"/>
    <s v="Y"/>
    <n v="2"/>
    <n v="-2"/>
    <n v="0"/>
    <n v="41"/>
    <n v="0"/>
    <m/>
    <n v="0"/>
    <n v="1"/>
    <n v="1276"/>
    <n v="2"/>
    <x v="4"/>
    <n v="1"/>
    <n v="2"/>
    <n v="91"/>
    <n v="3"/>
    <n v="4"/>
    <n v="2"/>
    <n v="16595"/>
    <n v="5626"/>
    <n v="7"/>
    <n v="16"/>
    <n v="3"/>
    <n v="2"/>
    <n v="80"/>
    <n v="1"/>
    <n v="22"/>
    <n v="3"/>
    <n v="18"/>
    <n v="16"/>
    <n v="11"/>
    <n v="8"/>
  </r>
  <r>
    <s v="No"/>
    <s v="Non-Travel"/>
    <x v="0"/>
    <s v="Current Employees"/>
    <x v="0"/>
    <x v="2"/>
    <x v="467"/>
    <x v="467"/>
    <x v="1"/>
    <x v="0"/>
    <x v="2"/>
    <s v="No"/>
    <s v="Y"/>
    <n v="6"/>
    <n v="-2"/>
    <n v="0"/>
    <n v="37"/>
    <n v="0"/>
    <m/>
    <n v="0"/>
    <n v="1"/>
    <n v="142"/>
    <n v="9"/>
    <x v="2"/>
    <n v="1"/>
    <n v="1"/>
    <n v="69"/>
    <n v="3"/>
    <n v="3"/>
    <n v="3"/>
    <n v="8834"/>
    <n v="24666"/>
    <n v="1"/>
    <n v="13"/>
    <n v="3"/>
    <n v="4"/>
    <n v="80"/>
    <n v="1"/>
    <n v="9"/>
    <n v="3"/>
    <n v="9"/>
    <n v="5"/>
    <n v="7"/>
    <n v="7"/>
  </r>
  <r>
    <s v="No"/>
    <s v="Travel_Rarely"/>
    <x v="1"/>
    <s v="Current Employees"/>
    <x v="1"/>
    <x v="4"/>
    <x v="468"/>
    <x v="468"/>
    <x v="1"/>
    <x v="1"/>
    <x v="2"/>
    <s v="Yes"/>
    <s v="Y"/>
    <n v="3"/>
    <n v="-2"/>
    <n v="0"/>
    <n v="52"/>
    <n v="0"/>
    <m/>
    <n v="0"/>
    <n v="1"/>
    <n v="956"/>
    <n v="6"/>
    <x v="0"/>
    <n v="1"/>
    <n v="4"/>
    <n v="78"/>
    <n v="3"/>
    <n v="2"/>
    <n v="4"/>
    <n v="5577"/>
    <n v="22087"/>
    <n v="3"/>
    <n v="12"/>
    <n v="3"/>
    <n v="2"/>
    <n v="80"/>
    <n v="2"/>
    <n v="18"/>
    <n v="3"/>
    <n v="10"/>
    <n v="9"/>
    <n v="6"/>
    <n v="9"/>
  </r>
  <r>
    <s v="Yes"/>
    <s v="Non-Travel"/>
    <x v="2"/>
    <s v="Ex-Employees"/>
    <x v="0"/>
    <x v="1"/>
    <x v="469"/>
    <x v="469"/>
    <x v="1"/>
    <x v="0"/>
    <x v="1"/>
    <s v="No"/>
    <s v="Y"/>
    <n v="2"/>
    <n v="-2"/>
    <n v="0"/>
    <n v="32"/>
    <n v="1"/>
    <n v="1"/>
    <n v="1"/>
    <n v="0"/>
    <n v="1474"/>
    <n v="11"/>
    <x v="2"/>
    <n v="1"/>
    <n v="4"/>
    <n v="60"/>
    <n v="4"/>
    <n v="2"/>
    <n v="3"/>
    <n v="4707"/>
    <n v="23914"/>
    <n v="8"/>
    <n v="12"/>
    <n v="3"/>
    <n v="4"/>
    <n v="80"/>
    <n v="0"/>
    <n v="6"/>
    <n v="3"/>
    <n v="4"/>
    <n v="2"/>
    <n v="1"/>
    <n v="2"/>
  </r>
  <r>
    <s v="No"/>
    <s v="Travel_Frequently"/>
    <x v="4"/>
    <s v="Current Employees"/>
    <x v="0"/>
    <x v="2"/>
    <x v="470"/>
    <x v="470"/>
    <x v="1"/>
    <x v="6"/>
    <x v="1"/>
    <s v="No"/>
    <s v="Y"/>
    <n v="3"/>
    <n v="-2"/>
    <n v="0"/>
    <n v="24"/>
    <n v="0"/>
    <m/>
    <n v="0"/>
    <n v="1"/>
    <n v="535"/>
    <n v="24"/>
    <x v="3"/>
    <n v="1"/>
    <n v="4"/>
    <n v="38"/>
    <n v="3"/>
    <n v="1"/>
    <n v="4"/>
    <n v="2400"/>
    <n v="5530"/>
    <n v="0"/>
    <n v="13"/>
    <n v="3"/>
    <n v="3"/>
    <n v="80"/>
    <n v="2"/>
    <n v="3"/>
    <n v="3"/>
    <n v="2"/>
    <n v="2"/>
    <n v="2"/>
    <n v="1"/>
  </r>
  <r>
    <s v="No"/>
    <s v="Travel_Rarely"/>
    <x v="0"/>
    <s v="Current Employees"/>
    <x v="1"/>
    <x v="2"/>
    <x v="471"/>
    <x v="471"/>
    <x v="0"/>
    <x v="4"/>
    <x v="1"/>
    <s v="No"/>
    <s v="Y"/>
    <n v="4"/>
    <n v="-2"/>
    <n v="0"/>
    <n v="38"/>
    <n v="0"/>
    <m/>
    <n v="0"/>
    <n v="1"/>
    <n v="1495"/>
    <n v="10"/>
    <x v="3"/>
    <n v="1"/>
    <n v="3"/>
    <n v="76"/>
    <n v="3"/>
    <n v="2"/>
    <n v="3"/>
    <n v="9824"/>
    <n v="22174"/>
    <n v="3"/>
    <n v="19"/>
    <n v="3"/>
    <n v="3"/>
    <n v="80"/>
    <n v="1"/>
    <n v="18"/>
    <n v="3"/>
    <n v="1"/>
    <n v="0"/>
    <n v="0"/>
    <n v="0"/>
  </r>
  <r>
    <s v="No"/>
    <s v="Travel_Rarely"/>
    <x v="0"/>
    <s v="Current Employees"/>
    <x v="1"/>
    <x v="0"/>
    <x v="472"/>
    <x v="472"/>
    <x v="0"/>
    <x v="3"/>
    <x v="1"/>
    <s v="No"/>
    <s v="Y"/>
    <n v="2"/>
    <n v="-2"/>
    <n v="0"/>
    <n v="37"/>
    <n v="0"/>
    <m/>
    <n v="0"/>
    <n v="1"/>
    <n v="446"/>
    <n v="1"/>
    <x v="2"/>
    <n v="1"/>
    <n v="2"/>
    <n v="65"/>
    <n v="3"/>
    <n v="2"/>
    <n v="2"/>
    <n v="6447"/>
    <n v="15701"/>
    <n v="6"/>
    <n v="12"/>
    <n v="3"/>
    <n v="2"/>
    <n v="80"/>
    <n v="1"/>
    <n v="8"/>
    <n v="2"/>
    <n v="6"/>
    <n v="5"/>
    <n v="4"/>
    <n v="3"/>
  </r>
  <r>
    <s v="No"/>
    <s v="Travel_Rarely"/>
    <x v="1"/>
    <s v="Current Employees"/>
    <x v="1"/>
    <x v="0"/>
    <x v="473"/>
    <x v="473"/>
    <x v="1"/>
    <x v="7"/>
    <x v="2"/>
    <s v="Yes"/>
    <s v="Y"/>
    <n v="5"/>
    <n v="-2"/>
    <n v="0"/>
    <n v="49"/>
    <n v="0"/>
    <m/>
    <n v="0"/>
    <n v="1"/>
    <n v="1245"/>
    <n v="18"/>
    <x v="2"/>
    <n v="1"/>
    <n v="4"/>
    <n v="58"/>
    <n v="2"/>
    <n v="5"/>
    <n v="2"/>
    <n v="19502"/>
    <n v="2125"/>
    <n v="1"/>
    <n v="17"/>
    <n v="3"/>
    <n v="3"/>
    <n v="80"/>
    <n v="1"/>
    <n v="31"/>
    <n v="3"/>
    <n v="31"/>
    <n v="9"/>
    <n v="0"/>
    <n v="9"/>
  </r>
  <r>
    <s v="No"/>
    <s v="Travel_Rarely"/>
    <x v="4"/>
    <s v="Current Employees"/>
    <x v="1"/>
    <x v="2"/>
    <x v="474"/>
    <x v="474"/>
    <x v="1"/>
    <x v="1"/>
    <x v="1"/>
    <s v="Yes"/>
    <s v="Y"/>
    <n v="3"/>
    <n v="-2"/>
    <n v="0"/>
    <n v="24"/>
    <n v="0"/>
    <m/>
    <n v="0"/>
    <n v="1"/>
    <n v="691"/>
    <n v="23"/>
    <x v="3"/>
    <n v="1"/>
    <n v="2"/>
    <n v="89"/>
    <n v="4"/>
    <n v="1"/>
    <n v="4"/>
    <n v="2725"/>
    <n v="21630"/>
    <n v="1"/>
    <n v="11"/>
    <n v="3"/>
    <n v="2"/>
    <n v="80"/>
    <n v="2"/>
    <n v="6"/>
    <n v="3"/>
    <n v="6"/>
    <n v="5"/>
    <n v="1"/>
    <n v="4"/>
  </r>
  <r>
    <s v="No"/>
    <s v="Travel_Rarely"/>
    <x v="2"/>
    <s v="Current Employees"/>
    <x v="0"/>
    <x v="3"/>
    <x v="475"/>
    <x v="475"/>
    <x v="1"/>
    <x v="0"/>
    <x v="1"/>
    <s v="No"/>
    <s v="Y"/>
    <n v="5"/>
    <n v="-2"/>
    <n v="0"/>
    <n v="26"/>
    <n v="0"/>
    <m/>
    <n v="0"/>
    <n v="1"/>
    <n v="703"/>
    <n v="28"/>
    <x v="0"/>
    <n v="1"/>
    <n v="1"/>
    <n v="66"/>
    <n v="3"/>
    <n v="2"/>
    <n v="1"/>
    <n v="6272"/>
    <n v="7428"/>
    <n v="1"/>
    <n v="20"/>
    <n v="4"/>
    <n v="4"/>
    <n v="80"/>
    <n v="2"/>
    <n v="6"/>
    <n v="4"/>
    <n v="5"/>
    <n v="3"/>
    <n v="1"/>
    <n v="4"/>
  </r>
  <r>
    <s v="No"/>
    <s v="Travel_Rarely"/>
    <x v="4"/>
    <s v="Current Employees"/>
    <x v="1"/>
    <x v="1"/>
    <x v="476"/>
    <x v="476"/>
    <x v="1"/>
    <x v="2"/>
    <x v="1"/>
    <s v="No"/>
    <s v="Y"/>
    <n v="2"/>
    <n v="-2"/>
    <n v="0"/>
    <n v="24"/>
    <n v="0"/>
    <m/>
    <n v="0"/>
    <n v="1"/>
    <n v="823"/>
    <n v="17"/>
    <x v="0"/>
    <n v="1"/>
    <n v="4"/>
    <n v="94"/>
    <n v="2"/>
    <n v="1"/>
    <n v="3"/>
    <n v="2127"/>
    <n v="9100"/>
    <n v="1"/>
    <n v="21"/>
    <n v="4"/>
    <n v="4"/>
    <n v="80"/>
    <n v="1"/>
    <n v="1"/>
    <n v="3"/>
    <n v="1"/>
    <n v="0"/>
    <n v="0"/>
    <n v="0"/>
  </r>
  <r>
    <s v="No"/>
    <s v="Travel_Frequently"/>
    <x v="1"/>
    <s v="Current Employees"/>
    <x v="2"/>
    <x v="2"/>
    <x v="477"/>
    <x v="477"/>
    <x v="1"/>
    <x v="5"/>
    <x v="1"/>
    <s v="No"/>
    <s v="Y"/>
    <n v="2"/>
    <n v="-2"/>
    <n v="0"/>
    <n v="50"/>
    <n v="0"/>
    <m/>
    <n v="0"/>
    <n v="1"/>
    <n v="1246"/>
    <n v="3"/>
    <x v="3"/>
    <n v="1"/>
    <n v="1"/>
    <n v="99"/>
    <n v="3"/>
    <n v="5"/>
    <n v="3"/>
    <n v="18200"/>
    <n v="7999"/>
    <n v="1"/>
    <n v="11"/>
    <n v="3"/>
    <n v="3"/>
    <n v="80"/>
    <n v="1"/>
    <n v="32"/>
    <n v="3"/>
    <n v="32"/>
    <n v="5"/>
    <n v="10"/>
    <n v="7"/>
  </r>
  <r>
    <s v="No"/>
    <s v="Travel_Rarely"/>
    <x v="2"/>
    <s v="Current Employees"/>
    <x v="0"/>
    <x v="2"/>
    <x v="478"/>
    <x v="478"/>
    <x v="1"/>
    <x v="6"/>
    <x v="1"/>
    <s v="No"/>
    <s v="Y"/>
    <n v="1"/>
    <n v="-2"/>
    <n v="0"/>
    <n v="25"/>
    <n v="0"/>
    <m/>
    <n v="0"/>
    <n v="1"/>
    <n v="622"/>
    <n v="13"/>
    <x v="1"/>
    <n v="1"/>
    <n v="2"/>
    <n v="40"/>
    <n v="3"/>
    <n v="1"/>
    <n v="3"/>
    <n v="2096"/>
    <n v="26376"/>
    <n v="1"/>
    <n v="11"/>
    <n v="3"/>
    <n v="3"/>
    <n v="80"/>
    <n v="0"/>
    <n v="7"/>
    <n v="3"/>
    <n v="7"/>
    <n v="4"/>
    <n v="0"/>
    <n v="6"/>
  </r>
  <r>
    <s v="Yes"/>
    <s v="Travel_Frequently"/>
    <x v="4"/>
    <s v="Ex-Employees"/>
    <x v="1"/>
    <x v="0"/>
    <x v="479"/>
    <x v="479"/>
    <x v="0"/>
    <x v="2"/>
    <x v="1"/>
    <s v="Yes"/>
    <s v="Y"/>
    <n v="4"/>
    <n v="-2"/>
    <n v="0"/>
    <n v="24"/>
    <n v="1"/>
    <n v="1"/>
    <n v="1"/>
    <n v="0"/>
    <n v="1287"/>
    <n v="7"/>
    <x v="3"/>
    <n v="1"/>
    <n v="1"/>
    <n v="55"/>
    <n v="3"/>
    <n v="1"/>
    <n v="2"/>
    <n v="2886"/>
    <n v="14168"/>
    <n v="1"/>
    <n v="16"/>
    <n v="3"/>
    <n v="4"/>
    <n v="80"/>
    <n v="1"/>
    <n v="6"/>
    <n v="3"/>
    <n v="6"/>
    <n v="3"/>
    <n v="1"/>
    <n v="2"/>
  </r>
  <r>
    <s v="Yes"/>
    <s v="Travel_Frequently"/>
    <x v="2"/>
    <s v="Ex-Employees"/>
    <x v="0"/>
    <x v="0"/>
    <x v="480"/>
    <x v="480"/>
    <x v="1"/>
    <x v="6"/>
    <x v="1"/>
    <s v="No"/>
    <s v="Y"/>
    <n v="2"/>
    <n v="-2"/>
    <n v="0"/>
    <n v="30"/>
    <n v="1"/>
    <n v="1"/>
    <n v="1"/>
    <n v="0"/>
    <n v="448"/>
    <n v="12"/>
    <x v="2"/>
    <n v="1"/>
    <n v="2"/>
    <n v="74"/>
    <n v="2"/>
    <n v="1"/>
    <n v="2"/>
    <n v="2033"/>
    <n v="14470"/>
    <n v="1"/>
    <n v="18"/>
    <n v="3"/>
    <n v="3"/>
    <n v="80"/>
    <n v="1"/>
    <n v="1"/>
    <n v="4"/>
    <n v="1"/>
    <n v="0"/>
    <n v="0"/>
    <n v="0"/>
  </r>
  <r>
    <s v="No"/>
    <s v="Travel_Rarely"/>
    <x v="2"/>
    <s v="Current Employees"/>
    <x v="1"/>
    <x v="0"/>
    <x v="481"/>
    <x v="481"/>
    <x v="1"/>
    <x v="1"/>
    <x v="1"/>
    <s v="Yes"/>
    <s v="Y"/>
    <n v="3"/>
    <n v="-2"/>
    <n v="0"/>
    <n v="34"/>
    <n v="0"/>
    <m/>
    <n v="0"/>
    <n v="1"/>
    <n v="254"/>
    <n v="1"/>
    <x v="0"/>
    <n v="1"/>
    <n v="2"/>
    <n v="83"/>
    <n v="2"/>
    <n v="1"/>
    <n v="2"/>
    <n v="3622"/>
    <n v="22794"/>
    <n v="1"/>
    <n v="13"/>
    <n v="3"/>
    <n v="4"/>
    <n v="80"/>
    <n v="1"/>
    <n v="6"/>
    <n v="3"/>
    <n v="6"/>
    <n v="5"/>
    <n v="1"/>
    <n v="3"/>
  </r>
  <r>
    <s v="Yes"/>
    <s v="Travel_Rarely"/>
    <x v="2"/>
    <s v="Ex-Employees"/>
    <x v="0"/>
    <x v="2"/>
    <x v="482"/>
    <x v="482"/>
    <x v="1"/>
    <x v="0"/>
    <x v="2"/>
    <s v="No"/>
    <s v="Y"/>
    <n v="2"/>
    <n v="-2"/>
    <n v="0"/>
    <n v="31"/>
    <n v="1"/>
    <n v="1"/>
    <n v="1"/>
    <n v="0"/>
    <n v="1365"/>
    <n v="13"/>
    <x v="2"/>
    <n v="1"/>
    <n v="2"/>
    <n v="46"/>
    <n v="3"/>
    <n v="2"/>
    <n v="3"/>
    <n v="4233"/>
    <n v="11512"/>
    <n v="2"/>
    <n v="17"/>
    <n v="3"/>
    <n v="3"/>
    <n v="80"/>
    <n v="0"/>
    <n v="9"/>
    <n v="1"/>
    <n v="3"/>
    <n v="1"/>
    <n v="1"/>
    <n v="2"/>
  </r>
  <r>
    <s v="No"/>
    <s v="Travel_Rarely"/>
    <x v="0"/>
    <s v="Current Employees"/>
    <x v="1"/>
    <x v="1"/>
    <x v="483"/>
    <x v="483"/>
    <x v="1"/>
    <x v="2"/>
    <x v="0"/>
    <s v="No"/>
    <s v="Y"/>
    <n v="3"/>
    <n v="-2"/>
    <n v="0"/>
    <n v="35"/>
    <n v="0"/>
    <m/>
    <n v="0"/>
    <n v="1"/>
    <n v="538"/>
    <n v="25"/>
    <x v="0"/>
    <n v="1"/>
    <n v="1"/>
    <n v="54"/>
    <n v="2"/>
    <n v="2"/>
    <n v="4"/>
    <n v="3681"/>
    <n v="14004"/>
    <n v="4"/>
    <n v="14"/>
    <n v="3"/>
    <n v="4"/>
    <n v="80"/>
    <n v="0"/>
    <n v="9"/>
    <n v="3"/>
    <n v="3"/>
    <n v="2"/>
    <n v="0"/>
    <n v="2"/>
  </r>
  <r>
    <s v="No"/>
    <s v="Travel_Rarely"/>
    <x v="2"/>
    <s v="Current Employees"/>
    <x v="0"/>
    <x v="2"/>
    <x v="484"/>
    <x v="484"/>
    <x v="1"/>
    <x v="0"/>
    <x v="2"/>
    <s v="No"/>
    <s v="Y"/>
    <n v="4"/>
    <n v="-2"/>
    <n v="0"/>
    <n v="31"/>
    <n v="0"/>
    <m/>
    <n v="0"/>
    <n v="1"/>
    <n v="525"/>
    <n v="6"/>
    <x v="2"/>
    <n v="1"/>
    <n v="1"/>
    <n v="66"/>
    <n v="4"/>
    <n v="2"/>
    <n v="4"/>
    <n v="5460"/>
    <n v="6219"/>
    <n v="4"/>
    <n v="22"/>
    <n v="4"/>
    <n v="4"/>
    <n v="80"/>
    <n v="2"/>
    <n v="13"/>
    <n v="4"/>
    <n v="7"/>
    <n v="7"/>
    <n v="5"/>
    <n v="7"/>
  </r>
  <r>
    <s v="No"/>
    <s v="Travel_Rarely"/>
    <x v="2"/>
    <s v="Current Employees"/>
    <x v="1"/>
    <x v="2"/>
    <x v="485"/>
    <x v="485"/>
    <x v="0"/>
    <x v="1"/>
    <x v="2"/>
    <s v="No"/>
    <s v="Y"/>
    <n v="5"/>
    <n v="-2"/>
    <n v="0"/>
    <n v="27"/>
    <n v="0"/>
    <m/>
    <n v="0"/>
    <n v="1"/>
    <n v="798"/>
    <n v="6"/>
    <x v="2"/>
    <n v="1"/>
    <n v="1"/>
    <n v="66"/>
    <n v="2"/>
    <n v="1"/>
    <n v="3"/>
    <n v="2187"/>
    <n v="5013"/>
    <n v="0"/>
    <n v="12"/>
    <n v="3"/>
    <n v="3"/>
    <n v="80"/>
    <n v="2"/>
    <n v="6"/>
    <n v="2"/>
    <n v="5"/>
    <n v="3"/>
    <n v="0"/>
    <n v="3"/>
  </r>
  <r>
    <s v="No"/>
    <s v="Travel_Rarely"/>
    <x v="0"/>
    <s v="Current Employees"/>
    <x v="0"/>
    <x v="3"/>
    <x v="486"/>
    <x v="486"/>
    <x v="1"/>
    <x v="0"/>
    <x v="1"/>
    <s v="Yes"/>
    <s v="Y"/>
    <n v="3"/>
    <n v="-2"/>
    <n v="0"/>
    <n v="37"/>
    <n v="0"/>
    <m/>
    <n v="0"/>
    <n v="1"/>
    <n v="558"/>
    <n v="2"/>
    <x v="3"/>
    <n v="1"/>
    <n v="4"/>
    <n v="75"/>
    <n v="3"/>
    <n v="2"/>
    <n v="1"/>
    <n v="9602"/>
    <n v="3010"/>
    <n v="4"/>
    <n v="11"/>
    <n v="3"/>
    <n v="3"/>
    <n v="80"/>
    <n v="1"/>
    <n v="17"/>
    <n v="2"/>
    <n v="3"/>
    <n v="0"/>
    <n v="1"/>
    <n v="0"/>
  </r>
  <r>
    <s v="No"/>
    <s v="Travel_Rarely"/>
    <x v="4"/>
    <s v="Current Employees"/>
    <x v="1"/>
    <x v="0"/>
    <x v="487"/>
    <x v="487"/>
    <x v="0"/>
    <x v="1"/>
    <x v="0"/>
    <s v="No"/>
    <s v="Y"/>
    <n v="0"/>
    <n v="-2"/>
    <n v="0"/>
    <n v="20"/>
    <n v="0"/>
    <m/>
    <n v="0"/>
    <n v="1"/>
    <n v="959"/>
    <n v="1"/>
    <x v="3"/>
    <n v="1"/>
    <n v="4"/>
    <n v="83"/>
    <n v="2"/>
    <n v="1"/>
    <n v="2"/>
    <n v="2836"/>
    <n v="11757"/>
    <n v="1"/>
    <n v="13"/>
    <n v="3"/>
    <n v="4"/>
    <n v="80"/>
    <n v="0"/>
    <n v="1"/>
    <n v="4"/>
    <n v="1"/>
    <n v="0"/>
    <n v="0"/>
    <n v="0"/>
  </r>
  <r>
    <s v="No"/>
    <s v="Travel_Rarely"/>
    <x v="0"/>
    <s v="Current Employees"/>
    <x v="1"/>
    <x v="0"/>
    <x v="488"/>
    <x v="488"/>
    <x v="0"/>
    <x v="4"/>
    <x v="1"/>
    <s v="No"/>
    <s v="Y"/>
    <n v="4"/>
    <n v="-2"/>
    <n v="0"/>
    <n v="42"/>
    <n v="0"/>
    <m/>
    <n v="0"/>
    <n v="1"/>
    <n v="622"/>
    <n v="2"/>
    <x v="2"/>
    <n v="1"/>
    <n v="3"/>
    <n v="81"/>
    <n v="3"/>
    <n v="2"/>
    <n v="2"/>
    <n v="4089"/>
    <n v="5718"/>
    <n v="1"/>
    <n v="13"/>
    <n v="3"/>
    <n v="2"/>
    <n v="80"/>
    <n v="2"/>
    <n v="10"/>
    <n v="3"/>
    <n v="10"/>
    <n v="2"/>
    <n v="2"/>
    <n v="2"/>
  </r>
  <r>
    <s v="No"/>
    <s v="Travel_Rarely"/>
    <x v="0"/>
    <s v="Current Employees"/>
    <x v="1"/>
    <x v="1"/>
    <x v="489"/>
    <x v="489"/>
    <x v="1"/>
    <x v="7"/>
    <x v="2"/>
    <s v="Yes"/>
    <s v="Y"/>
    <n v="3"/>
    <n v="-2"/>
    <n v="0"/>
    <n v="43"/>
    <n v="0"/>
    <m/>
    <n v="0"/>
    <n v="1"/>
    <n v="782"/>
    <n v="6"/>
    <x v="2"/>
    <n v="1"/>
    <n v="2"/>
    <n v="50"/>
    <n v="2"/>
    <n v="4"/>
    <n v="4"/>
    <n v="16627"/>
    <n v="2671"/>
    <n v="4"/>
    <n v="14"/>
    <n v="3"/>
    <n v="3"/>
    <n v="80"/>
    <n v="1"/>
    <n v="21"/>
    <n v="2"/>
    <n v="1"/>
    <n v="0"/>
    <n v="0"/>
    <n v="0"/>
  </r>
  <r>
    <s v="No"/>
    <s v="Travel_Rarely"/>
    <x v="0"/>
    <s v="Current Employees"/>
    <x v="1"/>
    <x v="0"/>
    <x v="490"/>
    <x v="490"/>
    <x v="0"/>
    <x v="1"/>
    <x v="0"/>
    <s v="No"/>
    <s v="Y"/>
    <n v="3"/>
    <n v="-2"/>
    <n v="0"/>
    <n v="38"/>
    <n v="0"/>
    <m/>
    <n v="0"/>
    <n v="1"/>
    <n v="362"/>
    <n v="1"/>
    <x v="1"/>
    <n v="1"/>
    <n v="3"/>
    <n v="43"/>
    <n v="3"/>
    <n v="1"/>
    <n v="2"/>
    <n v="2619"/>
    <n v="14561"/>
    <n v="3"/>
    <n v="17"/>
    <n v="3"/>
    <n v="4"/>
    <n v="80"/>
    <n v="0"/>
    <n v="8"/>
    <n v="2"/>
    <n v="0"/>
    <n v="0"/>
    <n v="0"/>
    <n v="0"/>
  </r>
  <r>
    <s v="No"/>
    <s v="Travel_Frequently"/>
    <x v="0"/>
    <s v="Current Employees"/>
    <x v="1"/>
    <x v="2"/>
    <x v="491"/>
    <x v="491"/>
    <x v="1"/>
    <x v="2"/>
    <x v="2"/>
    <s v="Yes"/>
    <s v="Y"/>
    <n v="3"/>
    <n v="-2"/>
    <n v="0"/>
    <n v="43"/>
    <n v="0"/>
    <m/>
    <n v="0"/>
    <n v="1"/>
    <n v="1001"/>
    <n v="9"/>
    <x v="4"/>
    <n v="1"/>
    <n v="4"/>
    <n v="72"/>
    <n v="3"/>
    <n v="2"/>
    <n v="3"/>
    <n v="5679"/>
    <n v="19627"/>
    <n v="3"/>
    <n v="13"/>
    <n v="3"/>
    <n v="2"/>
    <n v="80"/>
    <n v="1"/>
    <n v="10"/>
    <n v="3"/>
    <n v="8"/>
    <n v="7"/>
    <n v="4"/>
    <n v="7"/>
  </r>
  <r>
    <s v="No"/>
    <s v="Travel_Rarely"/>
    <x v="1"/>
    <s v="Current Employees"/>
    <x v="1"/>
    <x v="0"/>
    <x v="492"/>
    <x v="492"/>
    <x v="0"/>
    <x v="5"/>
    <x v="1"/>
    <s v="No"/>
    <s v="Y"/>
    <n v="3"/>
    <n v="-2"/>
    <n v="0"/>
    <n v="48"/>
    <n v="0"/>
    <m/>
    <n v="0"/>
    <n v="1"/>
    <n v="1236"/>
    <n v="1"/>
    <x v="2"/>
    <n v="1"/>
    <n v="4"/>
    <n v="40"/>
    <n v="2"/>
    <n v="4"/>
    <n v="2"/>
    <n v="15402"/>
    <n v="17997"/>
    <n v="7"/>
    <n v="11"/>
    <n v="3"/>
    <n v="1"/>
    <n v="80"/>
    <n v="1"/>
    <n v="21"/>
    <n v="1"/>
    <n v="3"/>
    <n v="2"/>
    <n v="0"/>
    <n v="2"/>
  </r>
  <r>
    <s v="No"/>
    <s v="Travel_Rarely"/>
    <x v="0"/>
    <s v="Current Employees"/>
    <x v="2"/>
    <x v="0"/>
    <x v="493"/>
    <x v="493"/>
    <x v="0"/>
    <x v="8"/>
    <x v="0"/>
    <s v="No"/>
    <s v="Y"/>
    <n v="1"/>
    <n v="-2"/>
    <n v="0"/>
    <n v="44"/>
    <n v="0"/>
    <m/>
    <n v="0"/>
    <n v="1"/>
    <n v="1112"/>
    <n v="1"/>
    <x v="2"/>
    <n v="1"/>
    <n v="1"/>
    <n v="50"/>
    <n v="2"/>
    <n v="2"/>
    <n v="2"/>
    <n v="5985"/>
    <n v="26894"/>
    <n v="4"/>
    <n v="11"/>
    <n v="3"/>
    <n v="2"/>
    <n v="80"/>
    <n v="0"/>
    <n v="10"/>
    <n v="4"/>
    <n v="2"/>
    <n v="2"/>
    <n v="0"/>
    <n v="2"/>
  </r>
  <r>
    <s v="No"/>
    <s v="Travel_Rarely"/>
    <x v="2"/>
    <s v="Current Employees"/>
    <x v="0"/>
    <x v="4"/>
    <x v="494"/>
    <x v="494"/>
    <x v="0"/>
    <x v="6"/>
    <x v="2"/>
    <s v="Yes"/>
    <s v="Y"/>
    <n v="3"/>
    <n v="-2"/>
    <n v="0"/>
    <n v="34"/>
    <n v="0"/>
    <m/>
    <n v="0"/>
    <n v="1"/>
    <n v="204"/>
    <n v="14"/>
    <x v="3"/>
    <n v="1"/>
    <n v="4"/>
    <n v="31"/>
    <n v="3"/>
    <n v="1"/>
    <n v="4"/>
    <n v="2579"/>
    <n v="2912"/>
    <n v="1"/>
    <n v="18"/>
    <n v="3"/>
    <n v="4"/>
    <n v="80"/>
    <n v="2"/>
    <n v="8"/>
    <n v="3"/>
    <n v="8"/>
    <n v="2"/>
    <n v="0"/>
    <n v="6"/>
  </r>
  <r>
    <s v="Yes"/>
    <s v="Travel_Rarely"/>
    <x v="2"/>
    <s v="Ex-Employees"/>
    <x v="0"/>
    <x v="3"/>
    <x v="495"/>
    <x v="495"/>
    <x v="1"/>
    <x v="6"/>
    <x v="2"/>
    <s v="No"/>
    <s v="Y"/>
    <n v="3"/>
    <n v="-2"/>
    <n v="0"/>
    <n v="27"/>
    <n v="1"/>
    <n v="1"/>
    <n v="1"/>
    <n v="0"/>
    <n v="1420"/>
    <n v="2"/>
    <x v="1"/>
    <n v="1"/>
    <n v="3"/>
    <n v="85"/>
    <n v="3"/>
    <n v="1"/>
    <n v="1"/>
    <n v="3041"/>
    <n v="16346"/>
    <n v="0"/>
    <n v="11"/>
    <n v="3"/>
    <n v="2"/>
    <n v="80"/>
    <n v="1"/>
    <n v="5"/>
    <n v="3"/>
    <n v="4"/>
    <n v="3"/>
    <n v="0"/>
    <n v="2"/>
  </r>
  <r>
    <s v="No"/>
    <s v="Travel_Rarely"/>
    <x v="4"/>
    <s v="Current Employees"/>
    <x v="0"/>
    <x v="4"/>
    <x v="496"/>
    <x v="496"/>
    <x v="1"/>
    <x v="6"/>
    <x v="0"/>
    <s v="No"/>
    <s v="Y"/>
    <n v="2"/>
    <n v="-2"/>
    <n v="0"/>
    <n v="21"/>
    <n v="0"/>
    <m/>
    <n v="0"/>
    <n v="1"/>
    <n v="1343"/>
    <n v="22"/>
    <x v="1"/>
    <n v="1"/>
    <n v="4"/>
    <n v="49"/>
    <n v="3"/>
    <n v="1"/>
    <n v="4"/>
    <n v="3447"/>
    <n v="24444"/>
    <n v="1"/>
    <n v="11"/>
    <n v="3"/>
    <n v="3"/>
    <n v="80"/>
    <n v="0"/>
    <n v="3"/>
    <n v="3"/>
    <n v="3"/>
    <n v="2"/>
    <n v="1"/>
    <n v="2"/>
  </r>
  <r>
    <s v="No"/>
    <s v="Travel_Rarely"/>
    <x v="0"/>
    <s v="Current Employees"/>
    <x v="1"/>
    <x v="1"/>
    <x v="497"/>
    <x v="497"/>
    <x v="1"/>
    <x v="5"/>
    <x v="1"/>
    <s v="Yes"/>
    <s v="Y"/>
    <n v="2"/>
    <n v="-2"/>
    <n v="0"/>
    <n v="44"/>
    <n v="0"/>
    <m/>
    <n v="0"/>
    <n v="1"/>
    <n v="1315"/>
    <n v="3"/>
    <x v="2"/>
    <n v="1"/>
    <n v="4"/>
    <n v="35"/>
    <n v="3"/>
    <n v="5"/>
    <n v="4"/>
    <n v="19513"/>
    <n v="9358"/>
    <n v="4"/>
    <n v="12"/>
    <n v="3"/>
    <n v="1"/>
    <n v="80"/>
    <n v="1"/>
    <n v="26"/>
    <n v="4"/>
    <n v="2"/>
    <n v="2"/>
    <n v="0"/>
    <n v="1"/>
  </r>
  <r>
    <s v="No"/>
    <s v="Travel_Rarely"/>
    <x v="4"/>
    <s v="Current Employees"/>
    <x v="1"/>
    <x v="2"/>
    <x v="498"/>
    <x v="498"/>
    <x v="1"/>
    <x v="1"/>
    <x v="1"/>
    <s v="No"/>
    <s v="Y"/>
    <n v="3"/>
    <n v="-2"/>
    <n v="0"/>
    <n v="22"/>
    <n v="0"/>
    <m/>
    <n v="0"/>
    <n v="1"/>
    <n v="604"/>
    <n v="6"/>
    <x v="1"/>
    <n v="1"/>
    <n v="1"/>
    <n v="69"/>
    <n v="3"/>
    <n v="1"/>
    <n v="3"/>
    <n v="2773"/>
    <n v="12145"/>
    <n v="0"/>
    <n v="20"/>
    <n v="4"/>
    <n v="4"/>
    <n v="80"/>
    <n v="0"/>
    <n v="3"/>
    <n v="3"/>
    <n v="2"/>
    <n v="2"/>
    <n v="2"/>
    <n v="2"/>
  </r>
  <r>
    <s v="No"/>
    <s v="Travel_Rarely"/>
    <x v="2"/>
    <s v="Current Employees"/>
    <x v="0"/>
    <x v="3"/>
    <x v="499"/>
    <x v="499"/>
    <x v="1"/>
    <x v="0"/>
    <x v="2"/>
    <s v="No"/>
    <s v="Y"/>
    <n v="3"/>
    <n v="-2"/>
    <n v="0"/>
    <n v="33"/>
    <n v="0"/>
    <m/>
    <n v="0"/>
    <n v="1"/>
    <n v="1216"/>
    <n v="8"/>
    <x v="2"/>
    <n v="1"/>
    <n v="3"/>
    <n v="39"/>
    <n v="3"/>
    <n v="2"/>
    <n v="1"/>
    <n v="7104"/>
    <n v="20431"/>
    <n v="0"/>
    <n v="12"/>
    <n v="3"/>
    <n v="4"/>
    <n v="80"/>
    <n v="0"/>
    <n v="6"/>
    <n v="3"/>
    <n v="5"/>
    <n v="0"/>
    <n v="1"/>
    <n v="2"/>
  </r>
  <r>
    <s v="No"/>
    <s v="Travel_Rarely"/>
    <x v="2"/>
    <s v="Current Employees"/>
    <x v="1"/>
    <x v="0"/>
    <x v="500"/>
    <x v="500"/>
    <x v="0"/>
    <x v="1"/>
    <x v="1"/>
    <s v="Yes"/>
    <s v="Y"/>
    <n v="2"/>
    <n v="-2"/>
    <n v="0"/>
    <n v="32"/>
    <n v="0"/>
    <m/>
    <n v="0"/>
    <n v="1"/>
    <n v="646"/>
    <n v="9"/>
    <x v="2"/>
    <n v="1"/>
    <n v="1"/>
    <n v="92"/>
    <n v="3"/>
    <n v="2"/>
    <n v="2"/>
    <n v="6322"/>
    <n v="18089"/>
    <n v="1"/>
    <n v="12"/>
    <n v="3"/>
    <n v="4"/>
    <n v="80"/>
    <n v="1"/>
    <n v="6"/>
    <n v="2"/>
    <n v="6"/>
    <n v="4"/>
    <n v="0"/>
    <n v="5"/>
  </r>
  <r>
    <s v="No"/>
    <s v="Travel_Frequently"/>
    <x v="2"/>
    <s v="Current Employees"/>
    <x v="1"/>
    <x v="2"/>
    <x v="501"/>
    <x v="501"/>
    <x v="0"/>
    <x v="1"/>
    <x v="2"/>
    <s v="No"/>
    <s v="Y"/>
    <n v="2"/>
    <n v="-2"/>
    <n v="0"/>
    <n v="30"/>
    <n v="0"/>
    <m/>
    <n v="0"/>
    <n v="1"/>
    <n v="160"/>
    <n v="3"/>
    <x v="3"/>
    <n v="1"/>
    <n v="3"/>
    <n v="71"/>
    <n v="3"/>
    <n v="1"/>
    <n v="3"/>
    <n v="2083"/>
    <n v="22653"/>
    <n v="1"/>
    <n v="20"/>
    <n v="4"/>
    <n v="3"/>
    <n v="80"/>
    <n v="1"/>
    <n v="1"/>
    <n v="3"/>
    <n v="1"/>
    <n v="0"/>
    <n v="0"/>
    <n v="0"/>
  </r>
  <r>
    <s v="No"/>
    <s v="Travel_Rarely"/>
    <x v="1"/>
    <s v="Current Employees"/>
    <x v="0"/>
    <x v="2"/>
    <x v="502"/>
    <x v="502"/>
    <x v="0"/>
    <x v="0"/>
    <x v="0"/>
    <s v="No"/>
    <s v="Y"/>
    <n v="2"/>
    <n v="-2"/>
    <n v="0"/>
    <n v="53"/>
    <n v="0"/>
    <m/>
    <n v="0"/>
    <n v="1"/>
    <n v="238"/>
    <n v="1"/>
    <x v="1"/>
    <n v="1"/>
    <n v="4"/>
    <n v="34"/>
    <n v="3"/>
    <n v="2"/>
    <n v="3"/>
    <n v="8381"/>
    <n v="7507"/>
    <n v="7"/>
    <n v="20"/>
    <n v="4"/>
    <n v="4"/>
    <n v="80"/>
    <n v="0"/>
    <n v="18"/>
    <n v="4"/>
    <n v="14"/>
    <n v="7"/>
    <n v="8"/>
    <n v="10"/>
  </r>
  <r>
    <s v="No"/>
    <s v="Travel_Rarely"/>
    <x v="2"/>
    <s v="Current Employees"/>
    <x v="1"/>
    <x v="0"/>
    <x v="503"/>
    <x v="503"/>
    <x v="1"/>
    <x v="1"/>
    <x v="1"/>
    <s v="No"/>
    <s v="Y"/>
    <n v="4"/>
    <n v="-2"/>
    <n v="0"/>
    <n v="34"/>
    <n v="0"/>
    <m/>
    <n v="0"/>
    <n v="1"/>
    <n v="1397"/>
    <n v="1"/>
    <x v="4"/>
    <n v="1"/>
    <n v="2"/>
    <n v="42"/>
    <n v="3"/>
    <n v="1"/>
    <n v="2"/>
    <n v="2691"/>
    <n v="7660"/>
    <n v="1"/>
    <n v="12"/>
    <n v="3"/>
    <n v="4"/>
    <n v="80"/>
    <n v="1"/>
    <n v="10"/>
    <n v="2"/>
    <n v="10"/>
    <n v="9"/>
    <n v="8"/>
    <n v="8"/>
  </r>
  <r>
    <s v="Yes"/>
    <s v="Travel_Frequently"/>
    <x v="1"/>
    <s v="Ex-Employees"/>
    <x v="0"/>
    <x v="0"/>
    <x v="504"/>
    <x v="504"/>
    <x v="0"/>
    <x v="0"/>
    <x v="1"/>
    <s v="No"/>
    <s v="Y"/>
    <n v="4"/>
    <n v="-2"/>
    <n v="0"/>
    <n v="45"/>
    <n v="1"/>
    <n v="1"/>
    <n v="1"/>
    <n v="0"/>
    <n v="306"/>
    <n v="26"/>
    <x v="2"/>
    <n v="1"/>
    <n v="1"/>
    <n v="100"/>
    <n v="3"/>
    <n v="2"/>
    <n v="2"/>
    <n v="4286"/>
    <n v="5630"/>
    <n v="2"/>
    <n v="14"/>
    <n v="3"/>
    <n v="4"/>
    <n v="80"/>
    <n v="2"/>
    <n v="5"/>
    <n v="3"/>
    <n v="1"/>
    <n v="1"/>
    <n v="0"/>
    <n v="0"/>
  </r>
  <r>
    <s v="No"/>
    <s v="Travel_Rarely"/>
    <x v="2"/>
    <s v="Current Employees"/>
    <x v="1"/>
    <x v="0"/>
    <x v="505"/>
    <x v="505"/>
    <x v="0"/>
    <x v="2"/>
    <x v="1"/>
    <s v="Yes"/>
    <s v="Y"/>
    <n v="2"/>
    <n v="-2"/>
    <n v="0"/>
    <n v="26"/>
    <n v="0"/>
    <m/>
    <n v="0"/>
    <n v="1"/>
    <n v="991"/>
    <n v="6"/>
    <x v="3"/>
    <n v="1"/>
    <n v="3"/>
    <n v="71"/>
    <n v="3"/>
    <n v="1"/>
    <n v="2"/>
    <n v="2659"/>
    <n v="17759"/>
    <n v="1"/>
    <n v="13"/>
    <n v="3"/>
    <n v="3"/>
    <n v="80"/>
    <n v="1"/>
    <n v="3"/>
    <n v="3"/>
    <n v="3"/>
    <n v="2"/>
    <n v="0"/>
    <n v="2"/>
  </r>
  <r>
    <s v="No"/>
    <s v="Travel_Rarely"/>
    <x v="0"/>
    <s v="Current Employees"/>
    <x v="1"/>
    <x v="1"/>
    <x v="506"/>
    <x v="506"/>
    <x v="1"/>
    <x v="3"/>
    <x v="1"/>
    <s v="No"/>
    <s v="Y"/>
    <n v="2"/>
    <n v="-2"/>
    <n v="0"/>
    <n v="37"/>
    <n v="0"/>
    <m/>
    <n v="0"/>
    <n v="1"/>
    <n v="482"/>
    <n v="3"/>
    <x v="3"/>
    <n v="1"/>
    <n v="3"/>
    <n v="36"/>
    <n v="3"/>
    <n v="3"/>
    <n v="3"/>
    <n v="9434"/>
    <n v="9606"/>
    <n v="1"/>
    <n v="15"/>
    <n v="3"/>
    <n v="3"/>
    <n v="80"/>
    <n v="1"/>
    <n v="10"/>
    <n v="3"/>
    <n v="10"/>
    <n v="7"/>
    <n v="7"/>
    <n v="8"/>
  </r>
  <r>
    <s v="No"/>
    <s v="Travel_Rarely"/>
    <x v="2"/>
    <s v="Current Employees"/>
    <x v="0"/>
    <x v="2"/>
    <x v="507"/>
    <x v="507"/>
    <x v="0"/>
    <x v="0"/>
    <x v="1"/>
    <s v="No"/>
    <s v="Y"/>
    <n v="5"/>
    <n v="-2"/>
    <n v="0"/>
    <n v="29"/>
    <n v="0"/>
    <m/>
    <n v="0"/>
    <n v="1"/>
    <n v="1176"/>
    <n v="3"/>
    <x v="0"/>
    <n v="1"/>
    <n v="2"/>
    <n v="62"/>
    <n v="3"/>
    <n v="2"/>
    <n v="3"/>
    <n v="5561"/>
    <n v="3487"/>
    <n v="1"/>
    <n v="14"/>
    <n v="3"/>
    <n v="1"/>
    <n v="80"/>
    <n v="1"/>
    <n v="6"/>
    <n v="2"/>
    <n v="6"/>
    <n v="0"/>
    <n v="1"/>
    <n v="2"/>
  </r>
  <r>
    <s v="No"/>
    <s v="Travel_Rarely"/>
    <x v="0"/>
    <s v="Current Employees"/>
    <x v="1"/>
    <x v="0"/>
    <x v="508"/>
    <x v="508"/>
    <x v="1"/>
    <x v="1"/>
    <x v="0"/>
    <s v="No"/>
    <s v="Y"/>
    <n v="3"/>
    <n v="-2"/>
    <n v="0"/>
    <n v="35"/>
    <n v="0"/>
    <m/>
    <n v="0"/>
    <n v="1"/>
    <n v="1017"/>
    <n v="6"/>
    <x v="2"/>
    <n v="1"/>
    <n v="2"/>
    <n v="82"/>
    <n v="1"/>
    <n v="2"/>
    <n v="2"/>
    <n v="6646"/>
    <n v="19368"/>
    <n v="1"/>
    <n v="13"/>
    <n v="3"/>
    <n v="2"/>
    <n v="80"/>
    <n v="0"/>
    <n v="17"/>
    <n v="3"/>
    <n v="17"/>
    <n v="11"/>
    <n v="11"/>
    <n v="8"/>
  </r>
  <r>
    <s v="No"/>
    <s v="Travel_Frequently"/>
    <x v="2"/>
    <s v="Current Employees"/>
    <x v="1"/>
    <x v="0"/>
    <x v="509"/>
    <x v="509"/>
    <x v="1"/>
    <x v="4"/>
    <x v="2"/>
    <s v="No"/>
    <s v="Y"/>
    <n v="2"/>
    <n v="-2"/>
    <n v="0"/>
    <n v="33"/>
    <n v="0"/>
    <m/>
    <n v="0"/>
    <n v="1"/>
    <n v="1296"/>
    <n v="6"/>
    <x v="3"/>
    <n v="1"/>
    <n v="3"/>
    <n v="30"/>
    <n v="3"/>
    <n v="2"/>
    <n v="2"/>
    <n v="7725"/>
    <n v="5335"/>
    <n v="3"/>
    <n v="23"/>
    <n v="4"/>
    <n v="3"/>
    <n v="80"/>
    <n v="1"/>
    <n v="15"/>
    <n v="1"/>
    <n v="13"/>
    <n v="11"/>
    <n v="4"/>
    <n v="7"/>
  </r>
  <r>
    <s v="No"/>
    <s v="Travel_Rarely"/>
    <x v="1"/>
    <s v="Current Employees"/>
    <x v="2"/>
    <x v="2"/>
    <x v="510"/>
    <x v="510"/>
    <x v="1"/>
    <x v="8"/>
    <x v="1"/>
    <s v="No"/>
    <s v="Y"/>
    <n v="1"/>
    <n v="-2"/>
    <n v="0"/>
    <n v="54"/>
    <n v="0"/>
    <m/>
    <n v="0"/>
    <n v="1"/>
    <n v="397"/>
    <n v="19"/>
    <x v="2"/>
    <n v="1"/>
    <n v="3"/>
    <n v="88"/>
    <n v="3"/>
    <n v="3"/>
    <n v="3"/>
    <n v="10725"/>
    <n v="6729"/>
    <n v="2"/>
    <n v="15"/>
    <n v="3"/>
    <n v="3"/>
    <n v="80"/>
    <n v="1"/>
    <n v="16"/>
    <n v="4"/>
    <n v="9"/>
    <n v="7"/>
    <n v="7"/>
    <n v="1"/>
  </r>
  <r>
    <s v="No"/>
    <s v="Travel_Rarely"/>
    <x v="0"/>
    <s v="Current Employees"/>
    <x v="1"/>
    <x v="2"/>
    <x v="511"/>
    <x v="511"/>
    <x v="1"/>
    <x v="3"/>
    <x v="2"/>
    <s v="Yes"/>
    <s v="Y"/>
    <n v="2"/>
    <n v="-2"/>
    <n v="0"/>
    <n v="36"/>
    <n v="0"/>
    <m/>
    <n v="0"/>
    <n v="1"/>
    <n v="913"/>
    <n v="9"/>
    <x v="0"/>
    <n v="1"/>
    <n v="2"/>
    <n v="48"/>
    <n v="2"/>
    <n v="2"/>
    <n v="3"/>
    <n v="8847"/>
    <n v="13934"/>
    <n v="2"/>
    <n v="11"/>
    <n v="3"/>
    <n v="3"/>
    <n v="80"/>
    <n v="1"/>
    <n v="13"/>
    <n v="3"/>
    <n v="3"/>
    <n v="2"/>
    <n v="0"/>
    <n v="2"/>
  </r>
  <r>
    <s v="No"/>
    <s v="Travel_Rarely"/>
    <x v="2"/>
    <s v="Current Employees"/>
    <x v="1"/>
    <x v="2"/>
    <x v="512"/>
    <x v="512"/>
    <x v="1"/>
    <x v="1"/>
    <x v="0"/>
    <s v="No"/>
    <s v="Y"/>
    <n v="0"/>
    <n v="-2"/>
    <n v="0"/>
    <n v="27"/>
    <n v="0"/>
    <m/>
    <n v="0"/>
    <n v="1"/>
    <n v="1115"/>
    <n v="3"/>
    <x v="2"/>
    <n v="1"/>
    <n v="1"/>
    <n v="54"/>
    <n v="2"/>
    <n v="1"/>
    <n v="4"/>
    <n v="2045"/>
    <n v="15174"/>
    <n v="0"/>
    <n v="13"/>
    <n v="3"/>
    <n v="4"/>
    <n v="80"/>
    <n v="0"/>
    <n v="5"/>
    <n v="3"/>
    <n v="4"/>
    <n v="2"/>
    <n v="1"/>
    <n v="1"/>
  </r>
  <r>
    <s v="Yes"/>
    <s v="Travel_Rarely"/>
    <x v="4"/>
    <s v="Ex-Employees"/>
    <x v="1"/>
    <x v="2"/>
    <x v="513"/>
    <x v="513"/>
    <x v="1"/>
    <x v="1"/>
    <x v="0"/>
    <s v="Yes"/>
    <s v="Y"/>
    <n v="5"/>
    <n v="-2"/>
    <n v="0"/>
    <n v="20"/>
    <n v="1"/>
    <n v="1"/>
    <n v="1"/>
    <n v="0"/>
    <n v="1362"/>
    <n v="10"/>
    <x v="1"/>
    <n v="1"/>
    <n v="4"/>
    <n v="32"/>
    <n v="3"/>
    <n v="1"/>
    <n v="3"/>
    <n v="1009"/>
    <n v="26999"/>
    <n v="1"/>
    <n v="11"/>
    <n v="3"/>
    <n v="4"/>
    <n v="80"/>
    <n v="0"/>
    <n v="1"/>
    <n v="3"/>
    <n v="1"/>
    <n v="0"/>
    <n v="1"/>
    <n v="1"/>
  </r>
  <r>
    <s v="Yes"/>
    <s v="Travel_Frequently"/>
    <x v="2"/>
    <s v="Ex-Employees"/>
    <x v="1"/>
    <x v="0"/>
    <x v="514"/>
    <x v="514"/>
    <x v="1"/>
    <x v="1"/>
    <x v="0"/>
    <s v="Yes"/>
    <s v="Y"/>
    <n v="3"/>
    <n v="-2"/>
    <n v="0"/>
    <n v="33"/>
    <n v="1"/>
    <n v="1"/>
    <n v="1"/>
    <n v="0"/>
    <n v="1076"/>
    <n v="3"/>
    <x v="3"/>
    <n v="1"/>
    <n v="1"/>
    <n v="70"/>
    <n v="3"/>
    <n v="1"/>
    <n v="2"/>
    <n v="3348"/>
    <n v="3164"/>
    <n v="1"/>
    <n v="11"/>
    <n v="3"/>
    <n v="1"/>
    <n v="80"/>
    <n v="0"/>
    <n v="10"/>
    <n v="3"/>
    <n v="10"/>
    <n v="8"/>
    <n v="9"/>
    <n v="7"/>
  </r>
  <r>
    <s v="No"/>
    <s v="Non-Travel"/>
    <x v="0"/>
    <s v="Current Employees"/>
    <x v="1"/>
    <x v="0"/>
    <x v="515"/>
    <x v="515"/>
    <x v="1"/>
    <x v="2"/>
    <x v="1"/>
    <s v="No"/>
    <s v="Y"/>
    <n v="3"/>
    <n v="-2"/>
    <n v="0"/>
    <n v="35"/>
    <n v="0"/>
    <m/>
    <n v="0"/>
    <n v="1"/>
    <n v="727"/>
    <n v="3"/>
    <x v="3"/>
    <n v="1"/>
    <n v="3"/>
    <n v="41"/>
    <n v="2"/>
    <n v="1"/>
    <n v="2"/>
    <n v="1281"/>
    <n v="16900"/>
    <n v="1"/>
    <n v="18"/>
    <n v="3"/>
    <n v="3"/>
    <n v="80"/>
    <n v="2"/>
    <n v="1"/>
    <n v="3"/>
    <n v="1"/>
    <n v="0"/>
    <n v="0"/>
    <n v="0"/>
  </r>
  <r>
    <s v="No"/>
    <s v="Travel_Rarely"/>
    <x v="4"/>
    <s v="Current Employees"/>
    <x v="1"/>
    <x v="2"/>
    <x v="516"/>
    <x v="516"/>
    <x v="1"/>
    <x v="1"/>
    <x v="1"/>
    <s v="No"/>
    <s v="Y"/>
    <n v="3"/>
    <n v="-2"/>
    <n v="0"/>
    <n v="23"/>
    <n v="0"/>
    <m/>
    <n v="0"/>
    <n v="1"/>
    <n v="885"/>
    <n v="4"/>
    <x v="3"/>
    <n v="1"/>
    <n v="1"/>
    <n v="58"/>
    <n v="4"/>
    <n v="1"/>
    <n v="3"/>
    <n v="2819"/>
    <n v="8544"/>
    <n v="2"/>
    <n v="16"/>
    <n v="3"/>
    <n v="1"/>
    <n v="80"/>
    <n v="1"/>
    <n v="5"/>
    <n v="4"/>
    <n v="3"/>
    <n v="2"/>
    <n v="0"/>
    <n v="2"/>
  </r>
  <r>
    <s v="No"/>
    <s v="Travel_Rarely"/>
    <x v="2"/>
    <s v="Current Employees"/>
    <x v="0"/>
    <x v="0"/>
    <x v="517"/>
    <x v="517"/>
    <x v="1"/>
    <x v="0"/>
    <x v="1"/>
    <s v="No"/>
    <s v="Y"/>
    <n v="4"/>
    <n v="-2"/>
    <n v="0"/>
    <n v="25"/>
    <n v="0"/>
    <m/>
    <n v="0"/>
    <n v="1"/>
    <n v="810"/>
    <n v="8"/>
    <x v="3"/>
    <n v="1"/>
    <n v="4"/>
    <n v="57"/>
    <n v="4"/>
    <n v="2"/>
    <n v="2"/>
    <n v="4851"/>
    <n v="15678"/>
    <n v="0"/>
    <n v="22"/>
    <n v="4"/>
    <n v="3"/>
    <n v="80"/>
    <n v="1"/>
    <n v="4"/>
    <n v="3"/>
    <n v="3"/>
    <n v="2"/>
    <n v="1"/>
    <n v="2"/>
  </r>
  <r>
    <s v="No"/>
    <s v="Travel_Rarely"/>
    <x v="0"/>
    <s v="Current Employees"/>
    <x v="0"/>
    <x v="3"/>
    <x v="518"/>
    <x v="518"/>
    <x v="0"/>
    <x v="0"/>
    <x v="0"/>
    <s v="No"/>
    <s v="Y"/>
    <n v="2"/>
    <n v="-2"/>
    <n v="0"/>
    <n v="38"/>
    <n v="0"/>
    <m/>
    <n v="0"/>
    <n v="1"/>
    <n v="243"/>
    <n v="7"/>
    <x v="2"/>
    <n v="1"/>
    <n v="4"/>
    <n v="46"/>
    <n v="2"/>
    <n v="2"/>
    <n v="1"/>
    <n v="4028"/>
    <n v="7791"/>
    <n v="0"/>
    <n v="20"/>
    <n v="4"/>
    <n v="1"/>
    <n v="80"/>
    <n v="0"/>
    <n v="8"/>
    <n v="3"/>
    <n v="7"/>
    <n v="7"/>
    <n v="0"/>
    <n v="5"/>
  </r>
  <r>
    <s v="No"/>
    <s v="Travel_Frequently"/>
    <x v="2"/>
    <s v="Current Employees"/>
    <x v="1"/>
    <x v="0"/>
    <x v="519"/>
    <x v="519"/>
    <x v="1"/>
    <x v="1"/>
    <x v="2"/>
    <s v="No"/>
    <s v="Y"/>
    <n v="5"/>
    <n v="-2"/>
    <n v="0"/>
    <n v="29"/>
    <n v="0"/>
    <m/>
    <n v="0"/>
    <n v="1"/>
    <n v="806"/>
    <n v="1"/>
    <x v="2"/>
    <n v="1"/>
    <n v="2"/>
    <n v="76"/>
    <n v="1"/>
    <n v="1"/>
    <n v="4"/>
    <n v="2720"/>
    <n v="18959"/>
    <n v="1"/>
    <n v="18"/>
    <n v="3"/>
    <n v="4"/>
    <n v="80"/>
    <n v="1"/>
    <n v="10"/>
    <n v="3"/>
    <n v="10"/>
    <n v="7"/>
    <n v="2"/>
    <n v="8"/>
  </r>
  <r>
    <s v="No"/>
    <s v="Travel_Rarely"/>
    <x v="1"/>
    <s v="Current Employees"/>
    <x v="0"/>
    <x v="3"/>
    <x v="520"/>
    <x v="520"/>
    <x v="1"/>
    <x v="0"/>
    <x v="1"/>
    <s v="No"/>
    <s v="Y"/>
    <n v="3"/>
    <n v="-2"/>
    <n v="0"/>
    <n v="48"/>
    <n v="0"/>
    <m/>
    <n v="0"/>
    <n v="1"/>
    <n v="817"/>
    <n v="2"/>
    <x v="1"/>
    <n v="1"/>
    <n v="2"/>
    <n v="56"/>
    <n v="4"/>
    <n v="2"/>
    <n v="1"/>
    <n v="8120"/>
    <n v="18597"/>
    <n v="3"/>
    <n v="12"/>
    <n v="3"/>
    <n v="4"/>
    <n v="80"/>
    <n v="0"/>
    <n v="12"/>
    <n v="3"/>
    <n v="2"/>
    <n v="2"/>
    <n v="2"/>
    <n v="2"/>
  </r>
  <r>
    <s v="No"/>
    <s v="Travel_Frequently"/>
    <x v="2"/>
    <s v="Current Employees"/>
    <x v="0"/>
    <x v="2"/>
    <x v="521"/>
    <x v="521"/>
    <x v="0"/>
    <x v="0"/>
    <x v="2"/>
    <s v="Yes"/>
    <s v="Y"/>
    <n v="3"/>
    <n v="-2"/>
    <n v="0"/>
    <n v="27"/>
    <n v="0"/>
    <m/>
    <n v="0"/>
    <n v="1"/>
    <n v="1410"/>
    <n v="3"/>
    <x v="1"/>
    <n v="1"/>
    <n v="4"/>
    <n v="71"/>
    <n v="4"/>
    <n v="2"/>
    <n v="4"/>
    <n v="4647"/>
    <n v="16673"/>
    <n v="1"/>
    <n v="20"/>
    <n v="4"/>
    <n v="2"/>
    <n v="80"/>
    <n v="2"/>
    <n v="6"/>
    <n v="3"/>
    <n v="6"/>
    <n v="5"/>
    <n v="0"/>
    <n v="4"/>
  </r>
  <r>
    <s v="No"/>
    <s v="Travel_Rarely"/>
    <x v="0"/>
    <s v="Current Employees"/>
    <x v="1"/>
    <x v="0"/>
    <x v="522"/>
    <x v="522"/>
    <x v="1"/>
    <x v="1"/>
    <x v="0"/>
    <s v="No"/>
    <s v="Y"/>
    <n v="2"/>
    <n v="-2"/>
    <n v="0"/>
    <n v="37"/>
    <n v="0"/>
    <m/>
    <n v="0"/>
    <n v="1"/>
    <n v="1225"/>
    <n v="10"/>
    <x v="0"/>
    <n v="1"/>
    <n v="4"/>
    <n v="80"/>
    <n v="4"/>
    <n v="1"/>
    <n v="4"/>
    <n v="4680"/>
    <n v="15232"/>
    <n v="3"/>
    <n v="17"/>
    <n v="3"/>
    <n v="1"/>
    <n v="80"/>
    <n v="0"/>
    <n v="4"/>
    <n v="3"/>
    <n v="1"/>
    <n v="0"/>
    <n v="0"/>
    <n v="0"/>
  </r>
  <r>
    <s v="No"/>
    <s v="Travel_Rarely"/>
    <x v="1"/>
    <s v="Current Employees"/>
    <x v="1"/>
    <x v="2"/>
    <x v="523"/>
    <x v="523"/>
    <x v="1"/>
    <x v="2"/>
    <x v="1"/>
    <s v="Yes"/>
    <s v="Y"/>
    <n v="3"/>
    <n v="-2"/>
    <n v="0"/>
    <n v="50"/>
    <n v="0"/>
    <m/>
    <n v="0"/>
    <n v="1"/>
    <n v="1207"/>
    <n v="28"/>
    <x v="1"/>
    <n v="1"/>
    <n v="4"/>
    <n v="74"/>
    <n v="4"/>
    <n v="1"/>
    <n v="3"/>
    <n v="3221"/>
    <n v="3297"/>
    <n v="1"/>
    <n v="11"/>
    <n v="3"/>
    <n v="3"/>
    <n v="80"/>
    <n v="3"/>
    <n v="20"/>
    <n v="3"/>
    <n v="20"/>
    <n v="8"/>
    <n v="3"/>
    <n v="8"/>
  </r>
  <r>
    <s v="No"/>
    <s v="Travel_Rarely"/>
    <x v="2"/>
    <s v="Current Employees"/>
    <x v="1"/>
    <x v="2"/>
    <x v="524"/>
    <x v="524"/>
    <x v="0"/>
    <x v="4"/>
    <x v="0"/>
    <s v="No"/>
    <s v="Y"/>
    <n v="3"/>
    <n v="-2"/>
    <n v="0"/>
    <n v="34"/>
    <n v="0"/>
    <m/>
    <n v="0"/>
    <n v="1"/>
    <n v="1442"/>
    <n v="9"/>
    <x v="3"/>
    <n v="1"/>
    <n v="4"/>
    <n v="46"/>
    <n v="2"/>
    <n v="3"/>
    <n v="3"/>
    <n v="8621"/>
    <n v="17654"/>
    <n v="1"/>
    <n v="14"/>
    <n v="3"/>
    <n v="2"/>
    <n v="80"/>
    <n v="0"/>
    <n v="9"/>
    <n v="4"/>
    <n v="8"/>
    <n v="7"/>
    <n v="7"/>
    <n v="7"/>
  </r>
  <r>
    <s v="Yes"/>
    <s v="Travel_Rarely"/>
    <x v="4"/>
    <s v="Ex-Employees"/>
    <x v="0"/>
    <x v="0"/>
    <x v="525"/>
    <x v="525"/>
    <x v="0"/>
    <x v="0"/>
    <x v="0"/>
    <s v="No"/>
    <s v="Y"/>
    <n v="3"/>
    <n v="-2"/>
    <n v="0"/>
    <n v="24"/>
    <n v="1"/>
    <n v="1"/>
    <n v="1"/>
    <n v="0"/>
    <n v="693"/>
    <n v="3"/>
    <x v="0"/>
    <n v="1"/>
    <n v="1"/>
    <n v="65"/>
    <n v="3"/>
    <n v="2"/>
    <n v="3"/>
    <n v="4577"/>
    <n v="24785"/>
    <n v="9"/>
    <n v="14"/>
    <n v="3"/>
    <n v="1"/>
    <n v="80"/>
    <n v="0"/>
    <n v="4"/>
    <n v="3"/>
    <n v="2"/>
    <n v="2"/>
    <n v="2"/>
    <n v="0"/>
  </r>
  <r>
    <s v="No"/>
    <s v="Travel_Rarely"/>
    <x v="0"/>
    <s v="Current Employees"/>
    <x v="1"/>
    <x v="4"/>
    <x v="526"/>
    <x v="526"/>
    <x v="0"/>
    <x v="4"/>
    <x v="0"/>
    <s v="No"/>
    <s v="Y"/>
    <n v="4"/>
    <n v="-2"/>
    <n v="0"/>
    <n v="39"/>
    <n v="0"/>
    <m/>
    <n v="0"/>
    <n v="1"/>
    <n v="408"/>
    <n v="2"/>
    <x v="2"/>
    <n v="1"/>
    <n v="4"/>
    <n v="80"/>
    <n v="2"/>
    <n v="2"/>
    <n v="4"/>
    <n v="4553"/>
    <n v="20978"/>
    <n v="1"/>
    <n v="11"/>
    <n v="3"/>
    <n v="1"/>
    <n v="80"/>
    <n v="0"/>
    <n v="20"/>
    <n v="3"/>
    <n v="20"/>
    <n v="7"/>
    <n v="11"/>
    <n v="10"/>
  </r>
  <r>
    <s v="No"/>
    <s v="Travel_Rarely"/>
    <x v="2"/>
    <s v="Current Employees"/>
    <x v="0"/>
    <x v="3"/>
    <x v="527"/>
    <x v="527"/>
    <x v="1"/>
    <x v="0"/>
    <x v="0"/>
    <s v="No"/>
    <s v="Y"/>
    <n v="2"/>
    <n v="-2"/>
    <n v="0"/>
    <n v="32"/>
    <n v="0"/>
    <m/>
    <n v="0"/>
    <n v="1"/>
    <n v="929"/>
    <n v="10"/>
    <x v="3"/>
    <n v="1"/>
    <n v="4"/>
    <n v="55"/>
    <n v="3"/>
    <n v="2"/>
    <n v="1"/>
    <n v="5396"/>
    <n v="21703"/>
    <n v="1"/>
    <n v="12"/>
    <n v="3"/>
    <n v="4"/>
    <n v="80"/>
    <n v="0"/>
    <n v="10"/>
    <n v="2"/>
    <n v="10"/>
    <n v="7"/>
    <n v="0"/>
    <n v="8"/>
  </r>
  <r>
    <s v="Yes"/>
    <s v="Travel_Frequently"/>
    <x v="1"/>
    <s v="Ex-Employees"/>
    <x v="0"/>
    <x v="4"/>
    <x v="528"/>
    <x v="528"/>
    <x v="1"/>
    <x v="0"/>
    <x v="1"/>
    <s v="Yes"/>
    <s v="Y"/>
    <n v="4"/>
    <n v="-2"/>
    <n v="0"/>
    <n v="50"/>
    <n v="1"/>
    <n v="1"/>
    <n v="1"/>
    <n v="0"/>
    <n v="562"/>
    <n v="8"/>
    <x v="0"/>
    <n v="1"/>
    <n v="4"/>
    <n v="50"/>
    <n v="3"/>
    <n v="2"/>
    <n v="4"/>
    <n v="6796"/>
    <n v="23452"/>
    <n v="3"/>
    <n v="14"/>
    <n v="3"/>
    <n v="1"/>
    <n v="80"/>
    <n v="1"/>
    <n v="18"/>
    <n v="3"/>
    <n v="4"/>
    <n v="3"/>
    <n v="1"/>
    <n v="3"/>
  </r>
  <r>
    <s v="No"/>
    <s v="Travel_Rarely"/>
    <x v="0"/>
    <s v="Current Employees"/>
    <x v="1"/>
    <x v="0"/>
    <x v="529"/>
    <x v="529"/>
    <x v="0"/>
    <x v="4"/>
    <x v="0"/>
    <s v="No"/>
    <s v="Y"/>
    <n v="4"/>
    <n v="-2"/>
    <n v="0"/>
    <n v="38"/>
    <n v="0"/>
    <m/>
    <n v="0"/>
    <n v="1"/>
    <n v="827"/>
    <n v="1"/>
    <x v="2"/>
    <n v="1"/>
    <n v="2"/>
    <n v="33"/>
    <n v="4"/>
    <n v="2"/>
    <n v="4"/>
    <n v="7625"/>
    <n v="19383"/>
    <n v="0"/>
    <n v="13"/>
    <n v="3"/>
    <n v="3"/>
    <n v="80"/>
    <n v="0"/>
    <n v="10"/>
    <n v="2"/>
    <n v="9"/>
    <n v="7"/>
    <n v="1"/>
    <n v="8"/>
  </r>
  <r>
    <s v="No"/>
    <s v="Travel_Rarely"/>
    <x v="2"/>
    <s v="Current Employees"/>
    <x v="1"/>
    <x v="0"/>
    <x v="530"/>
    <x v="530"/>
    <x v="0"/>
    <x v="3"/>
    <x v="1"/>
    <s v="No"/>
    <s v="Y"/>
    <n v="3"/>
    <n v="-2"/>
    <n v="0"/>
    <n v="27"/>
    <n v="0"/>
    <m/>
    <n v="0"/>
    <n v="1"/>
    <n v="608"/>
    <n v="1"/>
    <x v="0"/>
    <n v="1"/>
    <n v="3"/>
    <n v="68"/>
    <n v="3"/>
    <n v="3"/>
    <n v="3"/>
    <n v="7412"/>
    <n v="6009"/>
    <n v="1"/>
    <n v="11"/>
    <n v="3"/>
    <n v="4"/>
    <n v="80"/>
    <n v="0"/>
    <n v="9"/>
    <n v="3"/>
    <n v="9"/>
    <n v="7"/>
    <n v="0"/>
    <n v="7"/>
  </r>
  <r>
    <s v="No"/>
    <s v="Travel_Rarely"/>
    <x v="2"/>
    <s v="Current Employees"/>
    <x v="1"/>
    <x v="0"/>
    <x v="531"/>
    <x v="531"/>
    <x v="0"/>
    <x v="7"/>
    <x v="0"/>
    <s v="No"/>
    <s v="Y"/>
    <n v="6"/>
    <n v="-2"/>
    <n v="0"/>
    <n v="32"/>
    <n v="0"/>
    <m/>
    <n v="0"/>
    <n v="1"/>
    <n v="1018"/>
    <n v="3"/>
    <x v="0"/>
    <n v="1"/>
    <n v="3"/>
    <n v="39"/>
    <n v="3"/>
    <n v="3"/>
    <n v="4"/>
    <n v="11159"/>
    <n v="19373"/>
    <n v="3"/>
    <n v="15"/>
    <n v="3"/>
    <n v="4"/>
    <n v="80"/>
    <n v="0"/>
    <n v="10"/>
    <n v="3"/>
    <n v="7"/>
    <n v="7"/>
    <n v="7"/>
    <n v="7"/>
  </r>
  <r>
    <s v="No"/>
    <s v="Travel_Rarely"/>
    <x v="1"/>
    <s v="Current Employees"/>
    <x v="0"/>
    <x v="3"/>
    <x v="532"/>
    <x v="532"/>
    <x v="1"/>
    <x v="0"/>
    <x v="0"/>
    <s v="No"/>
    <s v="Y"/>
    <n v="2"/>
    <n v="-2"/>
    <n v="0"/>
    <n v="47"/>
    <n v="0"/>
    <m/>
    <n v="0"/>
    <n v="1"/>
    <n v="703"/>
    <n v="14"/>
    <x v="2"/>
    <n v="1"/>
    <n v="4"/>
    <n v="42"/>
    <n v="3"/>
    <n v="2"/>
    <n v="1"/>
    <n v="4960"/>
    <n v="11825"/>
    <n v="2"/>
    <n v="12"/>
    <n v="3"/>
    <n v="4"/>
    <n v="80"/>
    <n v="0"/>
    <n v="20"/>
    <n v="3"/>
    <n v="7"/>
    <n v="7"/>
    <n v="1"/>
    <n v="7"/>
  </r>
  <r>
    <s v="No"/>
    <s v="Travel_Frequently"/>
    <x v="0"/>
    <s v="Current Employees"/>
    <x v="0"/>
    <x v="0"/>
    <x v="533"/>
    <x v="533"/>
    <x v="1"/>
    <x v="0"/>
    <x v="1"/>
    <s v="Yes"/>
    <s v="Y"/>
    <n v="2"/>
    <n v="-2"/>
    <n v="0"/>
    <n v="40"/>
    <n v="0"/>
    <m/>
    <n v="0"/>
    <n v="1"/>
    <n v="580"/>
    <n v="5"/>
    <x v="2"/>
    <n v="1"/>
    <n v="4"/>
    <n v="48"/>
    <n v="2"/>
    <n v="3"/>
    <n v="3"/>
    <n v="10475"/>
    <n v="23772"/>
    <n v="5"/>
    <n v="21"/>
    <n v="4"/>
    <n v="3"/>
    <n v="80"/>
    <n v="1"/>
    <n v="20"/>
    <n v="3"/>
    <n v="18"/>
    <n v="13"/>
    <n v="1"/>
    <n v="12"/>
  </r>
  <r>
    <s v="No"/>
    <s v="Travel_Rarely"/>
    <x v="1"/>
    <s v="Current Employees"/>
    <x v="1"/>
    <x v="0"/>
    <x v="534"/>
    <x v="534"/>
    <x v="1"/>
    <x v="7"/>
    <x v="1"/>
    <s v="No"/>
    <s v="Y"/>
    <n v="3"/>
    <n v="-2"/>
    <n v="0"/>
    <n v="53"/>
    <n v="0"/>
    <m/>
    <n v="0"/>
    <n v="1"/>
    <n v="970"/>
    <n v="7"/>
    <x v="3"/>
    <n v="1"/>
    <n v="3"/>
    <n v="59"/>
    <n v="4"/>
    <n v="4"/>
    <n v="3"/>
    <n v="14814"/>
    <n v="13514"/>
    <n v="3"/>
    <n v="19"/>
    <n v="3"/>
    <n v="3"/>
    <n v="80"/>
    <n v="0"/>
    <n v="32"/>
    <n v="3"/>
    <n v="5"/>
    <n v="1"/>
    <n v="1"/>
    <n v="3"/>
  </r>
  <r>
    <s v="No"/>
    <s v="Travel_Rarely"/>
    <x v="0"/>
    <s v="Current Employees"/>
    <x v="2"/>
    <x v="5"/>
    <x v="535"/>
    <x v="535"/>
    <x v="1"/>
    <x v="5"/>
    <x v="2"/>
    <s v="No"/>
    <s v="Y"/>
    <n v="2"/>
    <n v="-2"/>
    <n v="0"/>
    <n v="41"/>
    <n v="0"/>
    <m/>
    <n v="0"/>
    <n v="1"/>
    <n v="427"/>
    <n v="10"/>
    <x v="2"/>
    <n v="1"/>
    <n v="2"/>
    <n v="73"/>
    <n v="2"/>
    <n v="5"/>
    <n v="4"/>
    <n v="19141"/>
    <n v="8861"/>
    <n v="3"/>
    <n v="15"/>
    <n v="3"/>
    <n v="2"/>
    <n v="80"/>
    <n v="3"/>
    <n v="23"/>
    <n v="2"/>
    <n v="21"/>
    <n v="6"/>
    <n v="12"/>
    <n v="6"/>
  </r>
  <r>
    <s v="No"/>
    <s v="Travel_Rarely"/>
    <x v="3"/>
    <s v="Current Employees"/>
    <x v="0"/>
    <x v="3"/>
    <x v="536"/>
    <x v="536"/>
    <x v="1"/>
    <x v="0"/>
    <x v="0"/>
    <s v="No"/>
    <s v="Y"/>
    <n v="1"/>
    <n v="-2"/>
    <n v="0"/>
    <n v="60"/>
    <n v="0"/>
    <m/>
    <n v="0"/>
    <n v="1"/>
    <n v="1179"/>
    <n v="16"/>
    <x v="2"/>
    <n v="1"/>
    <n v="1"/>
    <n v="84"/>
    <n v="3"/>
    <n v="2"/>
    <n v="1"/>
    <n v="5405"/>
    <n v="11924"/>
    <n v="8"/>
    <n v="14"/>
    <n v="3"/>
    <n v="4"/>
    <n v="80"/>
    <n v="0"/>
    <n v="10"/>
    <n v="3"/>
    <n v="2"/>
    <n v="2"/>
    <n v="2"/>
    <n v="2"/>
  </r>
  <r>
    <s v="No"/>
    <s v="Travel_Frequently"/>
    <x v="2"/>
    <s v="Current Employees"/>
    <x v="1"/>
    <x v="0"/>
    <x v="537"/>
    <x v="537"/>
    <x v="1"/>
    <x v="3"/>
    <x v="2"/>
    <s v="No"/>
    <s v="Y"/>
    <n v="4"/>
    <n v="-2"/>
    <n v="0"/>
    <n v="27"/>
    <n v="0"/>
    <m/>
    <n v="0"/>
    <n v="1"/>
    <n v="294"/>
    <n v="10"/>
    <x v="0"/>
    <n v="1"/>
    <n v="4"/>
    <n v="32"/>
    <n v="3"/>
    <n v="3"/>
    <n v="3"/>
    <n v="8793"/>
    <n v="4809"/>
    <n v="1"/>
    <n v="21"/>
    <n v="4"/>
    <n v="3"/>
    <n v="80"/>
    <n v="2"/>
    <n v="9"/>
    <n v="2"/>
    <n v="9"/>
    <n v="7"/>
    <n v="1"/>
    <n v="7"/>
  </r>
  <r>
    <s v="No"/>
    <s v="Travel_Rarely"/>
    <x v="0"/>
    <s v="Current Employees"/>
    <x v="2"/>
    <x v="5"/>
    <x v="538"/>
    <x v="538"/>
    <x v="1"/>
    <x v="5"/>
    <x v="1"/>
    <s v="No"/>
    <s v="Y"/>
    <n v="3"/>
    <n v="-2"/>
    <n v="0"/>
    <n v="41"/>
    <n v="0"/>
    <m/>
    <n v="0"/>
    <n v="1"/>
    <n v="314"/>
    <n v="1"/>
    <x v="3"/>
    <n v="1"/>
    <n v="4"/>
    <n v="59"/>
    <n v="2"/>
    <n v="5"/>
    <n v="3"/>
    <n v="19189"/>
    <n v="19562"/>
    <n v="1"/>
    <n v="12"/>
    <n v="3"/>
    <n v="2"/>
    <n v="80"/>
    <n v="1"/>
    <n v="22"/>
    <n v="3"/>
    <n v="22"/>
    <n v="7"/>
    <n v="2"/>
    <n v="10"/>
  </r>
  <r>
    <s v="No"/>
    <s v="Travel_Rarely"/>
    <x v="1"/>
    <s v="Current Employees"/>
    <x v="0"/>
    <x v="3"/>
    <x v="539"/>
    <x v="539"/>
    <x v="1"/>
    <x v="6"/>
    <x v="1"/>
    <s v="No"/>
    <s v="Y"/>
    <n v="2"/>
    <n v="-2"/>
    <n v="0"/>
    <n v="50"/>
    <n v="0"/>
    <m/>
    <n v="0"/>
    <n v="1"/>
    <n v="316"/>
    <n v="8"/>
    <x v="2"/>
    <n v="1"/>
    <n v="4"/>
    <n v="54"/>
    <n v="3"/>
    <n v="1"/>
    <n v="1"/>
    <n v="3875"/>
    <n v="9983"/>
    <n v="7"/>
    <n v="15"/>
    <n v="3"/>
    <n v="4"/>
    <n v="80"/>
    <n v="1"/>
    <n v="4"/>
    <n v="3"/>
    <n v="2"/>
    <n v="2"/>
    <n v="2"/>
    <n v="2"/>
  </r>
  <r>
    <s v="Yes"/>
    <s v="Travel_Rarely"/>
    <x v="2"/>
    <s v="Ex-Employees"/>
    <x v="1"/>
    <x v="0"/>
    <x v="540"/>
    <x v="540"/>
    <x v="0"/>
    <x v="1"/>
    <x v="0"/>
    <s v="Yes"/>
    <s v="Y"/>
    <n v="4"/>
    <n v="-2"/>
    <n v="0"/>
    <n v="28"/>
    <n v="1"/>
    <n v="1"/>
    <n v="1"/>
    <n v="0"/>
    <n v="654"/>
    <n v="1"/>
    <x v="0"/>
    <n v="1"/>
    <n v="1"/>
    <n v="67"/>
    <n v="1"/>
    <n v="1"/>
    <n v="3"/>
    <n v="2216"/>
    <n v="3872"/>
    <n v="7"/>
    <n v="13"/>
    <n v="3"/>
    <n v="4"/>
    <n v="80"/>
    <n v="0"/>
    <n v="10"/>
    <n v="3"/>
    <n v="7"/>
    <n v="7"/>
    <n v="3"/>
    <n v="7"/>
  </r>
  <r>
    <s v="No"/>
    <s v="Non-Travel"/>
    <x v="0"/>
    <s v="Current Employees"/>
    <x v="1"/>
    <x v="0"/>
    <x v="541"/>
    <x v="541"/>
    <x v="0"/>
    <x v="7"/>
    <x v="1"/>
    <s v="No"/>
    <s v="Y"/>
    <n v="2"/>
    <n v="-2"/>
    <n v="0"/>
    <n v="36"/>
    <n v="0"/>
    <m/>
    <n v="0"/>
    <n v="1"/>
    <n v="427"/>
    <n v="8"/>
    <x v="3"/>
    <n v="1"/>
    <n v="1"/>
    <n v="63"/>
    <n v="4"/>
    <n v="3"/>
    <n v="3"/>
    <n v="11713"/>
    <n v="20335"/>
    <n v="9"/>
    <n v="14"/>
    <n v="3"/>
    <n v="1"/>
    <n v="80"/>
    <n v="1"/>
    <n v="10"/>
    <n v="3"/>
    <n v="8"/>
    <n v="7"/>
    <n v="0"/>
    <n v="5"/>
  </r>
  <r>
    <s v="No"/>
    <s v="Travel_Rarely"/>
    <x v="0"/>
    <s v="Current Employees"/>
    <x v="1"/>
    <x v="0"/>
    <x v="542"/>
    <x v="542"/>
    <x v="0"/>
    <x v="3"/>
    <x v="0"/>
    <s v="Yes"/>
    <s v="Y"/>
    <n v="4"/>
    <n v="-2"/>
    <n v="0"/>
    <n v="38"/>
    <n v="0"/>
    <m/>
    <n v="0"/>
    <n v="1"/>
    <n v="168"/>
    <n v="1"/>
    <x v="3"/>
    <n v="1"/>
    <n v="3"/>
    <n v="81"/>
    <n v="3"/>
    <n v="3"/>
    <n v="3"/>
    <n v="7861"/>
    <n v="15397"/>
    <n v="4"/>
    <n v="14"/>
    <n v="3"/>
    <n v="4"/>
    <n v="80"/>
    <n v="0"/>
    <n v="10"/>
    <n v="4"/>
    <n v="1"/>
    <n v="0"/>
    <n v="0"/>
    <n v="0"/>
  </r>
  <r>
    <s v="No"/>
    <s v="Non-Travel"/>
    <x v="0"/>
    <s v="Current Employees"/>
    <x v="1"/>
    <x v="2"/>
    <x v="543"/>
    <x v="543"/>
    <x v="1"/>
    <x v="2"/>
    <x v="0"/>
    <s v="No"/>
    <s v="Y"/>
    <n v="5"/>
    <n v="-2"/>
    <n v="0"/>
    <n v="44"/>
    <n v="0"/>
    <m/>
    <n v="0"/>
    <n v="1"/>
    <n v="381"/>
    <n v="24"/>
    <x v="3"/>
    <n v="1"/>
    <n v="1"/>
    <n v="49"/>
    <n v="1"/>
    <n v="1"/>
    <n v="3"/>
    <n v="3708"/>
    <n v="2104"/>
    <n v="2"/>
    <n v="14"/>
    <n v="3"/>
    <n v="3"/>
    <n v="80"/>
    <n v="0"/>
    <n v="9"/>
    <n v="3"/>
    <n v="5"/>
    <n v="2"/>
    <n v="1"/>
    <n v="4"/>
  </r>
  <r>
    <s v="No"/>
    <s v="Travel_Frequently"/>
    <x v="1"/>
    <s v="Current Employees"/>
    <x v="0"/>
    <x v="2"/>
    <x v="544"/>
    <x v="544"/>
    <x v="0"/>
    <x v="0"/>
    <x v="2"/>
    <s v="Yes"/>
    <s v="Y"/>
    <n v="2"/>
    <n v="-2"/>
    <n v="0"/>
    <n v="47"/>
    <n v="0"/>
    <m/>
    <n v="0"/>
    <n v="1"/>
    <n v="217"/>
    <n v="3"/>
    <x v="3"/>
    <n v="1"/>
    <n v="4"/>
    <n v="49"/>
    <n v="3"/>
    <n v="4"/>
    <n v="3"/>
    <n v="13770"/>
    <n v="10225"/>
    <n v="9"/>
    <n v="12"/>
    <n v="3"/>
    <n v="4"/>
    <n v="80"/>
    <n v="2"/>
    <n v="28"/>
    <n v="2"/>
    <n v="22"/>
    <n v="2"/>
    <n v="11"/>
    <n v="13"/>
  </r>
  <r>
    <s v="No"/>
    <s v="Travel_Rarely"/>
    <x v="2"/>
    <s v="Current Employees"/>
    <x v="0"/>
    <x v="3"/>
    <x v="545"/>
    <x v="545"/>
    <x v="1"/>
    <x v="0"/>
    <x v="2"/>
    <s v="No"/>
    <s v="Y"/>
    <n v="2"/>
    <n v="-2"/>
    <n v="0"/>
    <n v="30"/>
    <n v="0"/>
    <m/>
    <n v="0"/>
    <n v="1"/>
    <n v="501"/>
    <n v="27"/>
    <x v="4"/>
    <n v="1"/>
    <n v="3"/>
    <n v="99"/>
    <n v="3"/>
    <n v="2"/>
    <n v="1"/>
    <n v="5304"/>
    <n v="25275"/>
    <n v="7"/>
    <n v="23"/>
    <n v="4"/>
    <n v="4"/>
    <n v="80"/>
    <n v="1"/>
    <n v="10"/>
    <n v="2"/>
    <n v="8"/>
    <n v="7"/>
    <n v="7"/>
    <n v="7"/>
  </r>
  <r>
    <s v="No"/>
    <s v="Travel_Rarely"/>
    <x v="2"/>
    <s v="Current Employees"/>
    <x v="0"/>
    <x v="0"/>
    <x v="546"/>
    <x v="546"/>
    <x v="1"/>
    <x v="6"/>
    <x v="0"/>
    <s v="No"/>
    <s v="Y"/>
    <n v="6"/>
    <n v="-2"/>
    <n v="0"/>
    <n v="29"/>
    <n v="0"/>
    <m/>
    <n v="0"/>
    <n v="1"/>
    <n v="1396"/>
    <n v="10"/>
    <x v="3"/>
    <n v="1"/>
    <n v="3"/>
    <n v="99"/>
    <n v="3"/>
    <n v="1"/>
    <n v="3"/>
    <n v="2642"/>
    <n v="2755"/>
    <n v="1"/>
    <n v="11"/>
    <n v="3"/>
    <n v="3"/>
    <n v="80"/>
    <n v="0"/>
    <n v="1"/>
    <n v="3"/>
    <n v="1"/>
    <n v="0"/>
    <n v="0"/>
    <n v="0"/>
  </r>
  <r>
    <s v="Yes"/>
    <s v="Travel_Frequently"/>
    <x v="0"/>
    <s v="Ex-Employees"/>
    <x v="1"/>
    <x v="2"/>
    <x v="547"/>
    <x v="547"/>
    <x v="1"/>
    <x v="1"/>
    <x v="2"/>
    <s v="Yes"/>
    <s v="Y"/>
    <n v="2"/>
    <n v="-2"/>
    <n v="0"/>
    <n v="42"/>
    <n v="1"/>
    <n v="1"/>
    <n v="1"/>
    <n v="0"/>
    <n v="933"/>
    <n v="19"/>
    <x v="3"/>
    <n v="1"/>
    <n v="3"/>
    <n v="57"/>
    <n v="4"/>
    <n v="1"/>
    <n v="3"/>
    <n v="2759"/>
    <n v="20366"/>
    <n v="6"/>
    <n v="12"/>
    <n v="3"/>
    <n v="4"/>
    <n v="80"/>
    <n v="0"/>
    <n v="7"/>
    <n v="3"/>
    <n v="2"/>
    <n v="2"/>
    <n v="2"/>
    <n v="2"/>
  </r>
  <r>
    <s v="No"/>
    <s v="Travel_Frequently"/>
    <x v="0"/>
    <s v="Current Employees"/>
    <x v="0"/>
    <x v="0"/>
    <x v="548"/>
    <x v="548"/>
    <x v="1"/>
    <x v="0"/>
    <x v="1"/>
    <s v="No"/>
    <s v="Y"/>
    <n v="5"/>
    <n v="-2"/>
    <n v="0"/>
    <n v="43"/>
    <n v="0"/>
    <m/>
    <n v="0"/>
    <n v="1"/>
    <n v="775"/>
    <n v="15"/>
    <x v="3"/>
    <n v="1"/>
    <n v="4"/>
    <n v="47"/>
    <n v="2"/>
    <n v="2"/>
    <n v="4"/>
    <n v="6804"/>
    <n v="23683"/>
    <n v="3"/>
    <n v="18"/>
    <n v="3"/>
    <n v="3"/>
    <n v="80"/>
    <n v="1"/>
    <n v="7"/>
    <n v="3"/>
    <n v="2"/>
    <n v="2"/>
    <n v="2"/>
    <n v="2"/>
  </r>
  <r>
    <s v="No"/>
    <s v="Travel_Rarely"/>
    <x v="2"/>
    <s v="Current Employees"/>
    <x v="1"/>
    <x v="2"/>
    <x v="549"/>
    <x v="549"/>
    <x v="0"/>
    <x v="4"/>
    <x v="0"/>
    <s v="No"/>
    <s v="Y"/>
    <n v="2"/>
    <n v="-2"/>
    <n v="0"/>
    <n v="34"/>
    <n v="0"/>
    <m/>
    <n v="0"/>
    <n v="1"/>
    <n v="970"/>
    <n v="8"/>
    <x v="0"/>
    <n v="1"/>
    <n v="2"/>
    <n v="96"/>
    <n v="3"/>
    <n v="2"/>
    <n v="3"/>
    <n v="6142"/>
    <n v="7360"/>
    <n v="3"/>
    <n v="11"/>
    <n v="3"/>
    <n v="4"/>
    <n v="80"/>
    <n v="0"/>
    <n v="10"/>
    <n v="3"/>
    <n v="5"/>
    <n v="1"/>
    <n v="4"/>
    <n v="3"/>
  </r>
  <r>
    <s v="No"/>
    <s v="Travel_Rarely"/>
    <x v="4"/>
    <s v="Current Employees"/>
    <x v="1"/>
    <x v="2"/>
    <x v="550"/>
    <x v="550"/>
    <x v="1"/>
    <x v="2"/>
    <x v="1"/>
    <s v="No"/>
    <s v="Y"/>
    <n v="2"/>
    <n v="-2"/>
    <n v="0"/>
    <n v="23"/>
    <n v="0"/>
    <m/>
    <n v="0"/>
    <n v="1"/>
    <n v="650"/>
    <n v="9"/>
    <x v="1"/>
    <n v="1"/>
    <n v="2"/>
    <n v="37"/>
    <n v="3"/>
    <n v="1"/>
    <n v="3"/>
    <n v="2500"/>
    <n v="4344"/>
    <n v="1"/>
    <n v="14"/>
    <n v="3"/>
    <n v="4"/>
    <n v="80"/>
    <n v="1"/>
    <n v="5"/>
    <n v="4"/>
    <n v="4"/>
    <n v="3"/>
    <n v="0"/>
    <n v="2"/>
  </r>
  <r>
    <s v="No"/>
    <s v="Travel_Rarely"/>
    <x v="0"/>
    <s v="Current Employees"/>
    <x v="2"/>
    <x v="5"/>
    <x v="551"/>
    <x v="551"/>
    <x v="0"/>
    <x v="8"/>
    <x v="1"/>
    <s v="No"/>
    <s v="Y"/>
    <n v="3"/>
    <n v="-2"/>
    <n v="0"/>
    <n v="39"/>
    <n v="0"/>
    <m/>
    <n v="0"/>
    <n v="1"/>
    <n v="141"/>
    <n v="3"/>
    <x v="3"/>
    <n v="1"/>
    <n v="3"/>
    <n v="44"/>
    <n v="4"/>
    <n v="2"/>
    <n v="3"/>
    <n v="6389"/>
    <n v="18767"/>
    <n v="9"/>
    <n v="15"/>
    <n v="3"/>
    <n v="3"/>
    <n v="80"/>
    <n v="1"/>
    <n v="12"/>
    <n v="1"/>
    <n v="8"/>
    <n v="3"/>
    <n v="3"/>
    <n v="6"/>
  </r>
  <r>
    <s v="No"/>
    <s v="Travel_Rarely"/>
    <x v="3"/>
    <s v="Current Employees"/>
    <x v="1"/>
    <x v="2"/>
    <x v="552"/>
    <x v="552"/>
    <x v="1"/>
    <x v="4"/>
    <x v="1"/>
    <s v="No"/>
    <s v="Y"/>
    <n v="1"/>
    <n v="-2"/>
    <n v="0"/>
    <n v="56"/>
    <n v="0"/>
    <m/>
    <n v="0"/>
    <n v="1"/>
    <n v="832"/>
    <n v="9"/>
    <x v="3"/>
    <n v="1"/>
    <n v="3"/>
    <n v="81"/>
    <n v="3"/>
    <n v="4"/>
    <n v="4"/>
    <n v="11103"/>
    <n v="20420"/>
    <n v="7"/>
    <n v="11"/>
    <n v="3"/>
    <n v="3"/>
    <n v="80"/>
    <n v="0"/>
    <n v="30"/>
    <n v="2"/>
    <n v="10"/>
    <n v="7"/>
    <n v="1"/>
    <n v="1"/>
  </r>
  <r>
    <s v="No"/>
    <s v="Travel_Rarely"/>
    <x v="0"/>
    <s v="Current Employees"/>
    <x v="1"/>
    <x v="2"/>
    <x v="553"/>
    <x v="553"/>
    <x v="0"/>
    <x v="1"/>
    <x v="0"/>
    <s v="Yes"/>
    <s v="Y"/>
    <n v="2"/>
    <n v="-2"/>
    <n v="0"/>
    <n v="40"/>
    <n v="0"/>
    <m/>
    <n v="0"/>
    <n v="1"/>
    <n v="804"/>
    <n v="2"/>
    <x v="1"/>
    <n v="1"/>
    <n v="4"/>
    <n v="86"/>
    <n v="2"/>
    <n v="1"/>
    <n v="4"/>
    <n v="2342"/>
    <n v="22929"/>
    <n v="0"/>
    <n v="20"/>
    <n v="4"/>
    <n v="4"/>
    <n v="80"/>
    <n v="0"/>
    <n v="5"/>
    <n v="2"/>
    <n v="4"/>
    <n v="2"/>
    <n v="2"/>
    <n v="3"/>
  </r>
  <r>
    <s v="No"/>
    <s v="Travel_Rarely"/>
    <x v="2"/>
    <s v="Current Employees"/>
    <x v="1"/>
    <x v="2"/>
    <x v="554"/>
    <x v="554"/>
    <x v="0"/>
    <x v="4"/>
    <x v="0"/>
    <s v="No"/>
    <s v="Y"/>
    <n v="2"/>
    <n v="-2"/>
    <n v="0"/>
    <n v="27"/>
    <n v="0"/>
    <m/>
    <n v="0"/>
    <n v="1"/>
    <n v="975"/>
    <n v="7"/>
    <x v="3"/>
    <n v="1"/>
    <n v="4"/>
    <n v="55"/>
    <n v="2"/>
    <n v="2"/>
    <n v="3"/>
    <n v="6811"/>
    <n v="23398"/>
    <n v="8"/>
    <n v="19"/>
    <n v="3"/>
    <n v="1"/>
    <n v="80"/>
    <n v="0"/>
    <n v="9"/>
    <n v="1"/>
    <n v="7"/>
    <n v="6"/>
    <n v="0"/>
    <n v="7"/>
  </r>
  <r>
    <s v="No"/>
    <s v="Travel_Rarely"/>
    <x v="2"/>
    <s v="Current Employees"/>
    <x v="0"/>
    <x v="3"/>
    <x v="555"/>
    <x v="555"/>
    <x v="1"/>
    <x v="6"/>
    <x v="2"/>
    <s v="No"/>
    <s v="Y"/>
    <n v="2"/>
    <n v="-2"/>
    <n v="0"/>
    <n v="29"/>
    <n v="0"/>
    <m/>
    <n v="0"/>
    <n v="1"/>
    <n v="1090"/>
    <n v="10"/>
    <x v="3"/>
    <n v="1"/>
    <n v="4"/>
    <n v="83"/>
    <n v="3"/>
    <n v="1"/>
    <n v="2"/>
    <n v="2297"/>
    <n v="17967"/>
    <n v="1"/>
    <n v="14"/>
    <n v="3"/>
    <n v="4"/>
    <n v="80"/>
    <n v="2"/>
    <n v="2"/>
    <n v="3"/>
    <n v="2"/>
    <n v="2"/>
    <n v="2"/>
    <n v="2"/>
  </r>
  <r>
    <s v="No"/>
    <s v="Travel_Rarely"/>
    <x v="1"/>
    <s v="Current Employees"/>
    <x v="1"/>
    <x v="0"/>
    <x v="556"/>
    <x v="556"/>
    <x v="1"/>
    <x v="2"/>
    <x v="0"/>
    <s v="No"/>
    <s v="Y"/>
    <n v="4"/>
    <n v="-2"/>
    <n v="0"/>
    <n v="53"/>
    <n v="0"/>
    <m/>
    <n v="0"/>
    <n v="1"/>
    <n v="346"/>
    <n v="6"/>
    <x v="3"/>
    <n v="1"/>
    <n v="4"/>
    <n v="86"/>
    <n v="3"/>
    <n v="2"/>
    <n v="4"/>
    <n v="2450"/>
    <n v="10919"/>
    <n v="2"/>
    <n v="17"/>
    <n v="3"/>
    <n v="4"/>
    <n v="80"/>
    <n v="0"/>
    <n v="19"/>
    <n v="3"/>
    <n v="2"/>
    <n v="2"/>
    <n v="2"/>
    <n v="2"/>
  </r>
  <r>
    <s v="No"/>
    <s v="Non-Travel"/>
    <x v="0"/>
    <s v="Current Employees"/>
    <x v="1"/>
    <x v="0"/>
    <x v="557"/>
    <x v="557"/>
    <x v="0"/>
    <x v="4"/>
    <x v="2"/>
    <s v="No"/>
    <s v="Y"/>
    <n v="2"/>
    <n v="-2"/>
    <n v="0"/>
    <n v="35"/>
    <n v="0"/>
    <m/>
    <n v="0"/>
    <n v="1"/>
    <n v="1225"/>
    <n v="2"/>
    <x v="2"/>
    <n v="1"/>
    <n v="4"/>
    <n v="61"/>
    <n v="3"/>
    <n v="2"/>
    <n v="1"/>
    <n v="5093"/>
    <n v="4761"/>
    <n v="2"/>
    <n v="11"/>
    <n v="3"/>
    <n v="1"/>
    <n v="80"/>
    <n v="1"/>
    <n v="16"/>
    <n v="4"/>
    <n v="1"/>
    <n v="0"/>
    <n v="0"/>
    <n v="0"/>
  </r>
  <r>
    <s v="No"/>
    <s v="Travel_Frequently"/>
    <x v="2"/>
    <s v="Current Employees"/>
    <x v="1"/>
    <x v="0"/>
    <x v="558"/>
    <x v="558"/>
    <x v="1"/>
    <x v="2"/>
    <x v="1"/>
    <s v="No"/>
    <s v="Y"/>
    <n v="2"/>
    <n v="-2"/>
    <n v="0"/>
    <n v="32"/>
    <n v="0"/>
    <m/>
    <n v="0"/>
    <n v="1"/>
    <n v="430"/>
    <n v="24"/>
    <x v="2"/>
    <n v="1"/>
    <n v="1"/>
    <n v="80"/>
    <n v="3"/>
    <n v="2"/>
    <n v="1"/>
    <n v="5309"/>
    <n v="21146"/>
    <n v="1"/>
    <n v="15"/>
    <n v="3"/>
    <n v="4"/>
    <n v="80"/>
    <n v="2"/>
    <n v="10"/>
    <n v="3"/>
    <n v="10"/>
    <n v="8"/>
    <n v="4"/>
    <n v="7"/>
  </r>
  <r>
    <s v="No"/>
    <s v="Travel_Rarely"/>
    <x v="0"/>
    <s v="Current Employees"/>
    <x v="1"/>
    <x v="2"/>
    <x v="559"/>
    <x v="559"/>
    <x v="1"/>
    <x v="1"/>
    <x v="1"/>
    <s v="Yes"/>
    <s v="Y"/>
    <n v="0"/>
    <n v="-2"/>
    <n v="0"/>
    <n v="38"/>
    <n v="0"/>
    <m/>
    <n v="0"/>
    <n v="1"/>
    <n v="268"/>
    <n v="2"/>
    <x v="4"/>
    <n v="1"/>
    <n v="4"/>
    <n v="92"/>
    <n v="3"/>
    <n v="1"/>
    <n v="3"/>
    <n v="3057"/>
    <n v="20471"/>
    <n v="6"/>
    <n v="13"/>
    <n v="3"/>
    <n v="2"/>
    <n v="80"/>
    <n v="1"/>
    <n v="6"/>
    <n v="1"/>
    <n v="1"/>
    <n v="0"/>
    <n v="0"/>
    <n v="1"/>
  </r>
  <r>
    <s v="No"/>
    <s v="Travel_Rarely"/>
    <x v="2"/>
    <s v="Current Employees"/>
    <x v="1"/>
    <x v="0"/>
    <x v="560"/>
    <x v="560"/>
    <x v="0"/>
    <x v="3"/>
    <x v="2"/>
    <s v="No"/>
    <s v="Y"/>
    <n v="3"/>
    <n v="-2"/>
    <n v="0"/>
    <n v="34"/>
    <n v="0"/>
    <m/>
    <n v="0"/>
    <n v="1"/>
    <n v="167"/>
    <n v="8"/>
    <x v="4"/>
    <n v="1"/>
    <n v="2"/>
    <n v="32"/>
    <n v="3"/>
    <n v="2"/>
    <n v="1"/>
    <n v="5121"/>
    <n v="4187"/>
    <n v="3"/>
    <n v="14"/>
    <n v="3"/>
    <n v="3"/>
    <n v="80"/>
    <n v="1"/>
    <n v="7"/>
    <n v="3"/>
    <n v="0"/>
    <n v="0"/>
    <n v="0"/>
    <n v="0"/>
  </r>
  <r>
    <s v="No"/>
    <s v="Travel_Rarely"/>
    <x v="1"/>
    <s v="Current Employees"/>
    <x v="0"/>
    <x v="3"/>
    <x v="561"/>
    <x v="561"/>
    <x v="1"/>
    <x v="5"/>
    <x v="1"/>
    <s v="No"/>
    <s v="Y"/>
    <n v="3"/>
    <n v="-2"/>
    <n v="0"/>
    <n v="52"/>
    <n v="0"/>
    <m/>
    <n v="0"/>
    <n v="1"/>
    <n v="621"/>
    <n v="3"/>
    <x v="2"/>
    <n v="1"/>
    <n v="3"/>
    <n v="31"/>
    <n v="2"/>
    <n v="4"/>
    <n v="2"/>
    <n v="16856"/>
    <n v="10084"/>
    <n v="1"/>
    <n v="11"/>
    <n v="3"/>
    <n v="1"/>
    <n v="80"/>
    <n v="0"/>
    <n v="34"/>
    <n v="4"/>
    <n v="34"/>
    <n v="6"/>
    <n v="1"/>
    <n v="16"/>
  </r>
  <r>
    <s v="Yes"/>
    <s v="Travel_Rarely"/>
    <x v="2"/>
    <s v="Ex-Employees"/>
    <x v="1"/>
    <x v="1"/>
    <x v="562"/>
    <x v="562"/>
    <x v="1"/>
    <x v="1"/>
    <x v="0"/>
    <s v="Yes"/>
    <s v="Y"/>
    <n v="2"/>
    <n v="-2"/>
    <n v="0"/>
    <n v="33"/>
    <n v="1"/>
    <n v="1"/>
    <n v="1"/>
    <n v="0"/>
    <n v="527"/>
    <n v="1"/>
    <x v="2"/>
    <n v="1"/>
    <n v="4"/>
    <n v="63"/>
    <n v="3"/>
    <n v="1"/>
    <n v="4"/>
    <n v="2686"/>
    <n v="5207"/>
    <n v="1"/>
    <n v="13"/>
    <n v="3"/>
    <n v="3"/>
    <n v="80"/>
    <n v="0"/>
    <n v="10"/>
    <n v="2"/>
    <n v="10"/>
    <n v="9"/>
    <n v="7"/>
    <n v="8"/>
  </r>
  <r>
    <s v="No"/>
    <s v="Travel_Rarely"/>
    <x v="2"/>
    <s v="Current Employees"/>
    <x v="0"/>
    <x v="2"/>
    <x v="563"/>
    <x v="563"/>
    <x v="0"/>
    <x v="0"/>
    <x v="0"/>
    <s v="No"/>
    <s v="Y"/>
    <n v="5"/>
    <n v="-2"/>
    <n v="0"/>
    <n v="25"/>
    <n v="0"/>
    <m/>
    <n v="0"/>
    <n v="1"/>
    <n v="883"/>
    <n v="26"/>
    <x v="1"/>
    <n v="1"/>
    <n v="3"/>
    <n v="32"/>
    <n v="3"/>
    <n v="2"/>
    <n v="4"/>
    <n v="6180"/>
    <n v="22807"/>
    <n v="1"/>
    <n v="23"/>
    <n v="4"/>
    <n v="2"/>
    <n v="80"/>
    <n v="0"/>
    <n v="6"/>
    <n v="2"/>
    <n v="6"/>
    <n v="5"/>
    <n v="1"/>
    <n v="4"/>
  </r>
  <r>
    <s v="No"/>
    <s v="Travel_Rarely"/>
    <x v="1"/>
    <s v="Current Employees"/>
    <x v="0"/>
    <x v="4"/>
    <x v="564"/>
    <x v="564"/>
    <x v="1"/>
    <x v="6"/>
    <x v="0"/>
    <s v="No"/>
    <s v="Y"/>
    <n v="3"/>
    <n v="-2"/>
    <n v="0"/>
    <n v="45"/>
    <n v="0"/>
    <m/>
    <n v="0"/>
    <n v="1"/>
    <n v="954"/>
    <n v="2"/>
    <x v="0"/>
    <n v="1"/>
    <n v="4"/>
    <n v="46"/>
    <n v="1"/>
    <n v="2"/>
    <n v="4"/>
    <n v="6632"/>
    <n v="12388"/>
    <n v="0"/>
    <n v="13"/>
    <n v="3"/>
    <n v="1"/>
    <n v="80"/>
    <n v="0"/>
    <n v="9"/>
    <n v="3"/>
    <n v="8"/>
    <n v="7"/>
    <n v="3"/>
    <n v="1"/>
  </r>
  <r>
    <s v="No"/>
    <s v="Travel_Rarely"/>
    <x v="4"/>
    <s v="Current Employees"/>
    <x v="1"/>
    <x v="2"/>
    <x v="565"/>
    <x v="565"/>
    <x v="1"/>
    <x v="1"/>
    <x v="0"/>
    <s v="No"/>
    <s v="Y"/>
    <n v="3"/>
    <n v="-2"/>
    <n v="0"/>
    <n v="23"/>
    <n v="0"/>
    <m/>
    <n v="0"/>
    <n v="1"/>
    <n v="310"/>
    <n v="10"/>
    <x v="1"/>
    <n v="1"/>
    <n v="1"/>
    <n v="79"/>
    <n v="4"/>
    <n v="1"/>
    <n v="3"/>
    <n v="3505"/>
    <n v="19630"/>
    <n v="1"/>
    <n v="18"/>
    <n v="3"/>
    <n v="4"/>
    <n v="80"/>
    <n v="0"/>
    <n v="2"/>
    <n v="3"/>
    <n v="2"/>
    <n v="2"/>
    <n v="0"/>
    <n v="2"/>
  </r>
  <r>
    <s v="Yes"/>
    <s v="Travel_Frequently"/>
    <x v="1"/>
    <s v="Ex-Employees"/>
    <x v="0"/>
    <x v="0"/>
    <x v="566"/>
    <x v="566"/>
    <x v="0"/>
    <x v="0"/>
    <x v="0"/>
    <s v="Yes"/>
    <s v="Y"/>
    <n v="2"/>
    <n v="-2"/>
    <n v="0"/>
    <n v="47"/>
    <n v="1"/>
    <n v="1"/>
    <n v="1"/>
    <n v="0"/>
    <n v="719"/>
    <n v="27"/>
    <x v="0"/>
    <n v="1"/>
    <n v="2"/>
    <n v="77"/>
    <n v="4"/>
    <n v="2"/>
    <n v="1"/>
    <n v="6397"/>
    <n v="10339"/>
    <n v="4"/>
    <n v="12"/>
    <n v="3"/>
    <n v="4"/>
    <n v="80"/>
    <n v="0"/>
    <n v="8"/>
    <n v="3"/>
    <n v="5"/>
    <n v="4"/>
    <n v="1"/>
    <n v="3"/>
  </r>
  <r>
    <s v="No"/>
    <s v="Travel_Rarely"/>
    <x v="2"/>
    <s v="Current Employees"/>
    <x v="0"/>
    <x v="1"/>
    <x v="567"/>
    <x v="567"/>
    <x v="1"/>
    <x v="0"/>
    <x v="0"/>
    <s v="No"/>
    <s v="Y"/>
    <n v="5"/>
    <n v="-2"/>
    <n v="0"/>
    <n v="34"/>
    <n v="0"/>
    <m/>
    <n v="0"/>
    <n v="1"/>
    <n v="304"/>
    <n v="2"/>
    <x v="3"/>
    <n v="1"/>
    <n v="4"/>
    <n v="60"/>
    <n v="3"/>
    <n v="2"/>
    <n v="4"/>
    <n v="6274"/>
    <n v="18686"/>
    <n v="1"/>
    <n v="22"/>
    <n v="4"/>
    <n v="3"/>
    <n v="80"/>
    <n v="0"/>
    <n v="6"/>
    <n v="3"/>
    <n v="6"/>
    <n v="5"/>
    <n v="1"/>
    <n v="4"/>
  </r>
  <r>
    <s v="Yes"/>
    <s v="Travel_Rarely"/>
    <x v="3"/>
    <s v="Ex-Employees"/>
    <x v="1"/>
    <x v="2"/>
    <x v="568"/>
    <x v="568"/>
    <x v="1"/>
    <x v="5"/>
    <x v="1"/>
    <s v="Yes"/>
    <s v="Y"/>
    <n v="2"/>
    <n v="-2"/>
    <n v="0"/>
    <n v="55"/>
    <n v="1"/>
    <n v="1"/>
    <n v="1"/>
    <n v="0"/>
    <n v="725"/>
    <n v="2"/>
    <x v="3"/>
    <n v="1"/>
    <n v="4"/>
    <n v="78"/>
    <n v="3"/>
    <n v="5"/>
    <n v="3"/>
    <n v="19859"/>
    <n v="21199"/>
    <n v="5"/>
    <n v="13"/>
    <n v="3"/>
    <n v="4"/>
    <n v="80"/>
    <n v="1"/>
    <n v="24"/>
    <n v="3"/>
    <n v="5"/>
    <n v="2"/>
    <n v="1"/>
    <n v="4"/>
  </r>
  <r>
    <s v="No"/>
    <s v="Non-Travel"/>
    <x v="0"/>
    <s v="Current Employees"/>
    <x v="0"/>
    <x v="0"/>
    <x v="569"/>
    <x v="569"/>
    <x v="1"/>
    <x v="0"/>
    <x v="0"/>
    <s v="No"/>
    <s v="Y"/>
    <n v="1"/>
    <n v="-2"/>
    <n v="0"/>
    <n v="36"/>
    <n v="0"/>
    <m/>
    <n v="0"/>
    <n v="1"/>
    <n v="1434"/>
    <n v="8"/>
    <x v="2"/>
    <n v="1"/>
    <n v="1"/>
    <n v="76"/>
    <n v="2"/>
    <n v="3"/>
    <n v="1"/>
    <n v="7587"/>
    <n v="14229"/>
    <n v="1"/>
    <n v="15"/>
    <n v="3"/>
    <n v="2"/>
    <n v="80"/>
    <n v="0"/>
    <n v="10"/>
    <n v="3"/>
    <n v="10"/>
    <n v="7"/>
    <n v="0"/>
    <n v="9"/>
  </r>
  <r>
    <s v="No"/>
    <s v="Non-Travel"/>
    <x v="1"/>
    <s v="Current Employees"/>
    <x v="1"/>
    <x v="2"/>
    <x v="570"/>
    <x v="570"/>
    <x v="1"/>
    <x v="1"/>
    <x v="1"/>
    <s v="No"/>
    <s v="Y"/>
    <n v="3"/>
    <n v="-2"/>
    <n v="0"/>
    <n v="52"/>
    <n v="0"/>
    <m/>
    <n v="0"/>
    <n v="1"/>
    <n v="715"/>
    <n v="19"/>
    <x v="2"/>
    <n v="1"/>
    <n v="4"/>
    <n v="41"/>
    <n v="3"/>
    <n v="1"/>
    <n v="4"/>
    <n v="4258"/>
    <n v="26589"/>
    <n v="0"/>
    <n v="18"/>
    <n v="3"/>
    <n v="1"/>
    <n v="80"/>
    <n v="1"/>
    <n v="5"/>
    <n v="3"/>
    <n v="4"/>
    <n v="3"/>
    <n v="1"/>
    <n v="2"/>
  </r>
  <r>
    <s v="No"/>
    <s v="Travel_Frequently"/>
    <x v="2"/>
    <s v="Current Employees"/>
    <x v="1"/>
    <x v="0"/>
    <x v="571"/>
    <x v="571"/>
    <x v="0"/>
    <x v="2"/>
    <x v="2"/>
    <s v="No"/>
    <s v="Y"/>
    <n v="2"/>
    <n v="-2"/>
    <n v="0"/>
    <n v="26"/>
    <n v="0"/>
    <m/>
    <n v="0"/>
    <n v="1"/>
    <n v="575"/>
    <n v="1"/>
    <x v="0"/>
    <n v="1"/>
    <n v="1"/>
    <n v="71"/>
    <n v="1"/>
    <n v="1"/>
    <n v="1"/>
    <n v="4364"/>
    <n v="5288"/>
    <n v="3"/>
    <n v="14"/>
    <n v="3"/>
    <n v="1"/>
    <n v="80"/>
    <n v="1"/>
    <n v="5"/>
    <n v="3"/>
    <n v="2"/>
    <n v="2"/>
    <n v="2"/>
    <n v="0"/>
  </r>
  <r>
    <s v="No"/>
    <s v="Travel_Rarely"/>
    <x v="2"/>
    <s v="Current Employees"/>
    <x v="1"/>
    <x v="2"/>
    <x v="572"/>
    <x v="572"/>
    <x v="0"/>
    <x v="4"/>
    <x v="1"/>
    <s v="No"/>
    <s v="Y"/>
    <n v="3"/>
    <n v="-2"/>
    <n v="0"/>
    <n v="29"/>
    <n v="0"/>
    <m/>
    <n v="0"/>
    <n v="1"/>
    <n v="657"/>
    <n v="27"/>
    <x v="3"/>
    <n v="1"/>
    <n v="2"/>
    <n v="66"/>
    <n v="3"/>
    <n v="2"/>
    <n v="3"/>
    <n v="4335"/>
    <n v="25549"/>
    <n v="4"/>
    <n v="12"/>
    <n v="3"/>
    <n v="1"/>
    <n v="80"/>
    <n v="1"/>
    <n v="11"/>
    <n v="2"/>
    <n v="8"/>
    <n v="7"/>
    <n v="1"/>
    <n v="1"/>
  </r>
  <r>
    <s v="Yes"/>
    <s v="Travel_Rarely"/>
    <x v="2"/>
    <s v="Ex-Employees"/>
    <x v="0"/>
    <x v="4"/>
    <x v="573"/>
    <x v="573"/>
    <x v="1"/>
    <x v="0"/>
    <x v="0"/>
    <s v="No"/>
    <s v="Y"/>
    <n v="2"/>
    <n v="-2"/>
    <n v="0"/>
    <n v="26"/>
    <n v="1"/>
    <n v="1"/>
    <n v="1"/>
    <n v="0"/>
    <n v="1146"/>
    <n v="8"/>
    <x v="3"/>
    <n v="1"/>
    <n v="4"/>
    <n v="38"/>
    <n v="2"/>
    <n v="2"/>
    <n v="4"/>
    <n v="5326"/>
    <n v="3064"/>
    <n v="6"/>
    <n v="17"/>
    <n v="3"/>
    <n v="3"/>
    <n v="80"/>
    <n v="0"/>
    <n v="6"/>
    <n v="2"/>
    <n v="4"/>
    <n v="3"/>
    <n v="1"/>
    <n v="2"/>
  </r>
  <r>
    <s v="No"/>
    <s v="Travel_Rarely"/>
    <x v="2"/>
    <s v="Current Employees"/>
    <x v="1"/>
    <x v="0"/>
    <x v="574"/>
    <x v="574"/>
    <x v="0"/>
    <x v="1"/>
    <x v="0"/>
    <s v="No"/>
    <s v="Y"/>
    <n v="2"/>
    <n v="-2"/>
    <n v="0"/>
    <n v="34"/>
    <n v="0"/>
    <m/>
    <n v="0"/>
    <n v="1"/>
    <n v="182"/>
    <n v="1"/>
    <x v="2"/>
    <n v="1"/>
    <n v="2"/>
    <n v="72"/>
    <n v="4"/>
    <n v="1"/>
    <n v="1"/>
    <n v="3280"/>
    <n v="13551"/>
    <n v="2"/>
    <n v="16"/>
    <n v="3"/>
    <n v="3"/>
    <n v="80"/>
    <n v="0"/>
    <n v="10"/>
    <n v="3"/>
    <n v="4"/>
    <n v="2"/>
    <n v="1"/>
    <n v="3"/>
  </r>
  <r>
    <s v="No"/>
    <s v="Travel_Rarely"/>
    <x v="1"/>
    <s v="Current Employees"/>
    <x v="1"/>
    <x v="2"/>
    <x v="575"/>
    <x v="575"/>
    <x v="0"/>
    <x v="3"/>
    <x v="2"/>
    <s v="Yes"/>
    <s v="Y"/>
    <n v="4"/>
    <n v="-2"/>
    <n v="0"/>
    <n v="54"/>
    <n v="0"/>
    <m/>
    <n v="0"/>
    <n v="1"/>
    <n v="376"/>
    <n v="19"/>
    <x v="2"/>
    <n v="1"/>
    <n v="4"/>
    <n v="95"/>
    <n v="3"/>
    <n v="2"/>
    <n v="3"/>
    <n v="5485"/>
    <n v="22670"/>
    <n v="9"/>
    <n v="11"/>
    <n v="3"/>
    <n v="2"/>
    <n v="80"/>
    <n v="2"/>
    <n v="9"/>
    <n v="3"/>
    <n v="5"/>
    <n v="3"/>
    <n v="1"/>
    <n v="4"/>
  </r>
  <r>
    <s v="No"/>
    <s v="Travel_Frequently"/>
    <x v="2"/>
    <s v="Current Employees"/>
    <x v="0"/>
    <x v="3"/>
    <x v="576"/>
    <x v="576"/>
    <x v="1"/>
    <x v="0"/>
    <x v="1"/>
    <s v="No"/>
    <s v="Y"/>
    <n v="3"/>
    <n v="-2"/>
    <n v="0"/>
    <n v="27"/>
    <n v="0"/>
    <m/>
    <n v="0"/>
    <n v="1"/>
    <n v="829"/>
    <n v="8"/>
    <x v="1"/>
    <n v="1"/>
    <n v="3"/>
    <n v="84"/>
    <n v="3"/>
    <n v="2"/>
    <n v="2"/>
    <n v="4342"/>
    <n v="24008"/>
    <n v="0"/>
    <n v="19"/>
    <n v="3"/>
    <n v="2"/>
    <n v="80"/>
    <n v="1"/>
    <n v="5"/>
    <n v="3"/>
    <n v="4"/>
    <n v="2"/>
    <n v="1"/>
    <n v="1"/>
  </r>
  <r>
    <s v="No"/>
    <s v="Travel_Rarely"/>
    <x v="0"/>
    <s v="Current Employees"/>
    <x v="1"/>
    <x v="0"/>
    <x v="577"/>
    <x v="577"/>
    <x v="0"/>
    <x v="1"/>
    <x v="2"/>
    <s v="Yes"/>
    <s v="Y"/>
    <n v="3"/>
    <n v="-2"/>
    <n v="0"/>
    <n v="37"/>
    <n v="0"/>
    <m/>
    <n v="0"/>
    <n v="1"/>
    <n v="571"/>
    <n v="10"/>
    <x v="1"/>
    <n v="1"/>
    <n v="4"/>
    <n v="82"/>
    <n v="3"/>
    <n v="1"/>
    <n v="1"/>
    <n v="2782"/>
    <n v="19905"/>
    <n v="0"/>
    <n v="13"/>
    <n v="3"/>
    <n v="2"/>
    <n v="80"/>
    <n v="2"/>
    <n v="6"/>
    <n v="2"/>
    <n v="5"/>
    <n v="3"/>
    <n v="4"/>
    <n v="3"/>
  </r>
  <r>
    <s v="No"/>
    <s v="Travel_Frequently"/>
    <x v="0"/>
    <s v="Current Employees"/>
    <x v="1"/>
    <x v="0"/>
    <x v="578"/>
    <x v="578"/>
    <x v="0"/>
    <x v="3"/>
    <x v="0"/>
    <s v="Yes"/>
    <s v="Y"/>
    <n v="2"/>
    <n v="-2"/>
    <n v="0"/>
    <n v="38"/>
    <n v="0"/>
    <m/>
    <n v="0"/>
    <n v="1"/>
    <n v="240"/>
    <n v="2"/>
    <x v="2"/>
    <n v="1"/>
    <n v="1"/>
    <n v="75"/>
    <n v="4"/>
    <n v="2"/>
    <n v="1"/>
    <n v="5980"/>
    <n v="26085"/>
    <n v="6"/>
    <n v="12"/>
    <n v="3"/>
    <n v="4"/>
    <n v="80"/>
    <n v="0"/>
    <n v="17"/>
    <n v="3"/>
    <n v="15"/>
    <n v="7"/>
    <n v="4"/>
    <n v="12"/>
  </r>
  <r>
    <s v="No"/>
    <s v="Travel_Rarely"/>
    <x v="2"/>
    <s v="Current Employees"/>
    <x v="1"/>
    <x v="2"/>
    <x v="579"/>
    <x v="579"/>
    <x v="0"/>
    <x v="1"/>
    <x v="0"/>
    <s v="No"/>
    <s v="Y"/>
    <n v="3"/>
    <n v="-2"/>
    <n v="0"/>
    <n v="34"/>
    <n v="0"/>
    <m/>
    <n v="0"/>
    <n v="1"/>
    <n v="121"/>
    <n v="2"/>
    <x v="2"/>
    <n v="1"/>
    <n v="3"/>
    <n v="86"/>
    <n v="2"/>
    <n v="1"/>
    <n v="3"/>
    <n v="4381"/>
    <n v="7530"/>
    <n v="1"/>
    <n v="11"/>
    <n v="3"/>
    <n v="3"/>
    <n v="80"/>
    <n v="0"/>
    <n v="6"/>
    <n v="3"/>
    <n v="6"/>
    <n v="5"/>
    <n v="1"/>
    <n v="3"/>
  </r>
  <r>
    <s v="No"/>
    <s v="Travel_Rarely"/>
    <x v="0"/>
    <s v="Current Employees"/>
    <x v="0"/>
    <x v="0"/>
    <x v="580"/>
    <x v="580"/>
    <x v="0"/>
    <x v="6"/>
    <x v="1"/>
    <s v="No"/>
    <s v="Y"/>
    <n v="1"/>
    <n v="-2"/>
    <n v="0"/>
    <n v="35"/>
    <n v="0"/>
    <m/>
    <n v="0"/>
    <n v="1"/>
    <n v="384"/>
    <n v="8"/>
    <x v="2"/>
    <n v="1"/>
    <n v="1"/>
    <n v="72"/>
    <n v="3"/>
    <n v="1"/>
    <n v="1"/>
    <n v="2572"/>
    <n v="20317"/>
    <n v="1"/>
    <n v="16"/>
    <n v="3"/>
    <n v="2"/>
    <n v="80"/>
    <n v="1"/>
    <n v="3"/>
    <n v="2"/>
    <n v="3"/>
    <n v="2"/>
    <n v="0"/>
    <n v="2"/>
  </r>
  <r>
    <s v="No"/>
    <s v="Travel_Rarely"/>
    <x v="2"/>
    <s v="Current Employees"/>
    <x v="1"/>
    <x v="0"/>
    <x v="581"/>
    <x v="581"/>
    <x v="1"/>
    <x v="2"/>
    <x v="1"/>
    <s v="No"/>
    <s v="Y"/>
    <n v="2"/>
    <n v="-2"/>
    <n v="0"/>
    <n v="30"/>
    <n v="0"/>
    <m/>
    <n v="0"/>
    <n v="1"/>
    <n v="921"/>
    <n v="1"/>
    <x v="3"/>
    <n v="1"/>
    <n v="4"/>
    <n v="38"/>
    <n v="1"/>
    <n v="1"/>
    <n v="1"/>
    <n v="3833"/>
    <n v="24375"/>
    <n v="3"/>
    <n v="21"/>
    <n v="4"/>
    <n v="3"/>
    <n v="80"/>
    <n v="2"/>
    <n v="7"/>
    <n v="3"/>
    <n v="2"/>
    <n v="2"/>
    <n v="0"/>
    <n v="2"/>
  </r>
  <r>
    <s v="No"/>
    <s v="Travel_Frequently"/>
    <x v="0"/>
    <s v="Current Employees"/>
    <x v="1"/>
    <x v="2"/>
    <x v="582"/>
    <x v="582"/>
    <x v="0"/>
    <x v="4"/>
    <x v="1"/>
    <s v="No"/>
    <s v="Y"/>
    <n v="2"/>
    <n v="-2"/>
    <n v="0"/>
    <n v="40"/>
    <n v="0"/>
    <m/>
    <n v="0"/>
    <n v="1"/>
    <n v="791"/>
    <n v="2"/>
    <x v="0"/>
    <n v="1"/>
    <n v="3"/>
    <n v="38"/>
    <n v="4"/>
    <n v="2"/>
    <n v="3"/>
    <n v="4244"/>
    <n v="9931"/>
    <n v="1"/>
    <n v="24"/>
    <n v="4"/>
    <n v="4"/>
    <n v="80"/>
    <n v="1"/>
    <n v="8"/>
    <n v="3"/>
    <n v="8"/>
    <n v="7"/>
    <n v="3"/>
    <n v="7"/>
  </r>
  <r>
    <s v="No"/>
    <s v="Travel_Rarely"/>
    <x v="2"/>
    <s v="Current Employees"/>
    <x v="0"/>
    <x v="0"/>
    <x v="583"/>
    <x v="583"/>
    <x v="0"/>
    <x v="0"/>
    <x v="1"/>
    <s v="No"/>
    <s v="Y"/>
    <n v="1"/>
    <n v="-2"/>
    <n v="0"/>
    <n v="34"/>
    <n v="0"/>
    <m/>
    <n v="0"/>
    <n v="1"/>
    <n v="1111"/>
    <n v="8"/>
    <x v="0"/>
    <n v="1"/>
    <n v="3"/>
    <n v="93"/>
    <n v="3"/>
    <n v="2"/>
    <n v="1"/>
    <n v="6500"/>
    <n v="13305"/>
    <n v="5"/>
    <n v="17"/>
    <n v="3"/>
    <n v="2"/>
    <n v="80"/>
    <n v="1"/>
    <n v="6"/>
    <n v="3"/>
    <n v="3"/>
    <n v="2"/>
    <n v="1"/>
    <n v="2"/>
  </r>
  <r>
    <s v="No"/>
    <s v="Travel_Frequently"/>
    <x v="0"/>
    <s v="Current Employees"/>
    <x v="1"/>
    <x v="0"/>
    <x v="584"/>
    <x v="584"/>
    <x v="1"/>
    <x v="5"/>
    <x v="2"/>
    <s v="No"/>
    <s v="Y"/>
    <n v="4"/>
    <n v="-2"/>
    <n v="0"/>
    <n v="42"/>
    <n v="0"/>
    <m/>
    <n v="0"/>
    <n v="1"/>
    <n v="570"/>
    <n v="8"/>
    <x v="3"/>
    <n v="1"/>
    <n v="2"/>
    <n v="66"/>
    <n v="3"/>
    <n v="5"/>
    <n v="1"/>
    <n v="18430"/>
    <n v="16225"/>
    <n v="1"/>
    <n v="13"/>
    <n v="3"/>
    <n v="2"/>
    <n v="80"/>
    <n v="1"/>
    <n v="24"/>
    <n v="2"/>
    <n v="24"/>
    <n v="7"/>
    <n v="14"/>
    <n v="9"/>
  </r>
  <r>
    <s v="Yes"/>
    <s v="Travel_Rarely"/>
    <x v="4"/>
    <s v="Ex-Employees"/>
    <x v="1"/>
    <x v="0"/>
    <x v="585"/>
    <x v="585"/>
    <x v="1"/>
    <x v="2"/>
    <x v="1"/>
    <s v="Yes"/>
    <s v="Y"/>
    <n v="2"/>
    <n v="-2"/>
    <n v="0"/>
    <n v="23"/>
    <n v="1"/>
    <n v="1"/>
    <n v="1"/>
    <n v="0"/>
    <n v="1243"/>
    <n v="6"/>
    <x v="3"/>
    <n v="1"/>
    <n v="3"/>
    <n v="63"/>
    <n v="4"/>
    <n v="1"/>
    <n v="1"/>
    <n v="1601"/>
    <n v="3445"/>
    <n v="1"/>
    <n v="21"/>
    <n v="4"/>
    <n v="3"/>
    <n v="80"/>
    <n v="2"/>
    <n v="1"/>
    <n v="3"/>
    <n v="0"/>
    <n v="0"/>
    <n v="0"/>
    <n v="0"/>
  </r>
  <r>
    <s v="No"/>
    <s v="Non-Travel"/>
    <x v="4"/>
    <s v="Current Employees"/>
    <x v="1"/>
    <x v="0"/>
    <x v="586"/>
    <x v="586"/>
    <x v="1"/>
    <x v="2"/>
    <x v="2"/>
    <s v="No"/>
    <s v="Y"/>
    <n v="4"/>
    <n v="-2"/>
    <n v="0"/>
    <n v="24"/>
    <n v="0"/>
    <m/>
    <n v="0"/>
    <n v="1"/>
    <n v="1092"/>
    <n v="9"/>
    <x v="3"/>
    <n v="1"/>
    <n v="3"/>
    <n v="60"/>
    <n v="2"/>
    <n v="1"/>
    <n v="1"/>
    <n v="2694"/>
    <n v="26551"/>
    <n v="1"/>
    <n v="11"/>
    <n v="3"/>
    <n v="3"/>
    <n v="80"/>
    <n v="3"/>
    <n v="1"/>
    <n v="3"/>
    <n v="1"/>
    <n v="0"/>
    <n v="0"/>
    <n v="0"/>
  </r>
  <r>
    <s v="No"/>
    <s v="Travel_Rarely"/>
    <x v="1"/>
    <s v="Current Employees"/>
    <x v="1"/>
    <x v="0"/>
    <x v="587"/>
    <x v="587"/>
    <x v="0"/>
    <x v="2"/>
    <x v="1"/>
    <s v="No"/>
    <s v="Y"/>
    <n v="3"/>
    <n v="-2"/>
    <n v="0"/>
    <n v="52"/>
    <n v="0"/>
    <m/>
    <n v="0"/>
    <n v="1"/>
    <n v="1325"/>
    <n v="11"/>
    <x v="2"/>
    <n v="1"/>
    <n v="4"/>
    <n v="82"/>
    <n v="3"/>
    <n v="2"/>
    <n v="1"/>
    <n v="3149"/>
    <n v="21821"/>
    <n v="8"/>
    <n v="20"/>
    <n v="4"/>
    <n v="2"/>
    <n v="80"/>
    <n v="1"/>
    <n v="9"/>
    <n v="3"/>
    <n v="5"/>
    <n v="2"/>
    <n v="1"/>
    <n v="4"/>
  </r>
  <r>
    <s v="No"/>
    <s v="Travel_Rarely"/>
    <x v="1"/>
    <s v="Current Employees"/>
    <x v="1"/>
    <x v="2"/>
    <x v="588"/>
    <x v="588"/>
    <x v="1"/>
    <x v="7"/>
    <x v="1"/>
    <s v="No"/>
    <s v="Y"/>
    <n v="3"/>
    <n v="-2"/>
    <n v="0"/>
    <n v="50"/>
    <n v="0"/>
    <m/>
    <n v="0"/>
    <n v="1"/>
    <n v="691"/>
    <n v="2"/>
    <x v="3"/>
    <n v="1"/>
    <n v="3"/>
    <n v="64"/>
    <n v="3"/>
    <n v="4"/>
    <n v="3"/>
    <n v="17639"/>
    <n v="6881"/>
    <n v="5"/>
    <n v="16"/>
    <n v="3"/>
    <n v="4"/>
    <n v="80"/>
    <n v="0"/>
    <n v="30"/>
    <n v="3"/>
    <n v="4"/>
    <n v="3"/>
    <n v="0"/>
    <n v="3"/>
  </r>
  <r>
    <s v="Yes"/>
    <s v="Travel_Rarely"/>
    <x v="2"/>
    <s v="Ex-Employees"/>
    <x v="1"/>
    <x v="0"/>
    <x v="589"/>
    <x v="589"/>
    <x v="0"/>
    <x v="2"/>
    <x v="1"/>
    <s v="Yes"/>
    <s v="Y"/>
    <n v="1"/>
    <n v="-2"/>
    <n v="0"/>
    <n v="29"/>
    <n v="1"/>
    <n v="1"/>
    <n v="1"/>
    <n v="0"/>
    <n v="805"/>
    <n v="1"/>
    <x v="0"/>
    <n v="1"/>
    <n v="2"/>
    <n v="36"/>
    <n v="2"/>
    <n v="1"/>
    <n v="1"/>
    <n v="2319"/>
    <n v="6689"/>
    <n v="1"/>
    <n v="11"/>
    <n v="3"/>
    <n v="4"/>
    <n v="80"/>
    <n v="1"/>
    <n v="1"/>
    <n v="3"/>
    <n v="1"/>
    <n v="0"/>
    <n v="0"/>
    <n v="0"/>
  </r>
  <r>
    <s v="No"/>
    <s v="Travel_Rarely"/>
    <x v="2"/>
    <s v="Current Employees"/>
    <x v="1"/>
    <x v="2"/>
    <x v="590"/>
    <x v="590"/>
    <x v="1"/>
    <x v="7"/>
    <x v="1"/>
    <s v="No"/>
    <s v="Y"/>
    <n v="3"/>
    <n v="-2"/>
    <n v="0"/>
    <n v="33"/>
    <n v="0"/>
    <m/>
    <n v="0"/>
    <n v="1"/>
    <n v="213"/>
    <n v="7"/>
    <x v="3"/>
    <n v="1"/>
    <n v="3"/>
    <n v="49"/>
    <n v="3"/>
    <n v="3"/>
    <n v="3"/>
    <n v="11691"/>
    <n v="25995"/>
    <n v="0"/>
    <n v="11"/>
    <n v="3"/>
    <n v="4"/>
    <n v="80"/>
    <n v="0"/>
    <n v="14"/>
    <n v="4"/>
    <n v="13"/>
    <n v="9"/>
    <n v="3"/>
    <n v="7"/>
  </r>
  <r>
    <s v="Yes"/>
    <s v="Travel_Rarely"/>
    <x v="2"/>
    <s v="Ex-Employees"/>
    <x v="0"/>
    <x v="3"/>
    <x v="591"/>
    <x v="591"/>
    <x v="0"/>
    <x v="0"/>
    <x v="0"/>
    <s v="No"/>
    <s v="Y"/>
    <n v="3"/>
    <n v="-2"/>
    <n v="0"/>
    <n v="33"/>
    <n v="1"/>
    <n v="1"/>
    <n v="1"/>
    <n v="0"/>
    <n v="118"/>
    <n v="16"/>
    <x v="3"/>
    <n v="1"/>
    <n v="1"/>
    <n v="69"/>
    <n v="3"/>
    <n v="2"/>
    <n v="2"/>
    <n v="5324"/>
    <n v="26507"/>
    <n v="5"/>
    <n v="15"/>
    <n v="3"/>
    <n v="3"/>
    <n v="80"/>
    <n v="0"/>
    <n v="6"/>
    <n v="3"/>
    <n v="3"/>
    <n v="2"/>
    <n v="0"/>
    <n v="2"/>
  </r>
  <r>
    <s v="No"/>
    <s v="Travel_Rarely"/>
    <x v="1"/>
    <s v="Current Employees"/>
    <x v="1"/>
    <x v="1"/>
    <x v="592"/>
    <x v="592"/>
    <x v="0"/>
    <x v="5"/>
    <x v="1"/>
    <s v="Yes"/>
    <s v="Y"/>
    <n v="3"/>
    <n v="-2"/>
    <n v="0"/>
    <n v="47"/>
    <n v="0"/>
    <m/>
    <n v="0"/>
    <n v="1"/>
    <n v="202"/>
    <n v="2"/>
    <x v="0"/>
    <n v="1"/>
    <n v="3"/>
    <n v="33"/>
    <n v="3"/>
    <n v="4"/>
    <n v="4"/>
    <n v="16752"/>
    <n v="12982"/>
    <n v="1"/>
    <n v="11"/>
    <n v="3"/>
    <n v="3"/>
    <n v="80"/>
    <n v="1"/>
    <n v="26"/>
    <n v="2"/>
    <n v="26"/>
    <n v="14"/>
    <n v="3"/>
    <n v="0"/>
  </r>
  <r>
    <s v="No"/>
    <s v="Travel_Rarely"/>
    <x v="0"/>
    <s v="Current Employees"/>
    <x v="1"/>
    <x v="1"/>
    <x v="593"/>
    <x v="593"/>
    <x v="0"/>
    <x v="3"/>
    <x v="1"/>
    <s v="No"/>
    <s v="Y"/>
    <n v="2"/>
    <n v="-2"/>
    <n v="0"/>
    <n v="36"/>
    <n v="0"/>
    <m/>
    <n v="0"/>
    <n v="1"/>
    <n v="676"/>
    <n v="1"/>
    <x v="3"/>
    <n v="1"/>
    <n v="3"/>
    <n v="35"/>
    <n v="3"/>
    <n v="2"/>
    <n v="3"/>
    <n v="5228"/>
    <n v="23361"/>
    <n v="0"/>
    <n v="15"/>
    <n v="3"/>
    <n v="1"/>
    <n v="80"/>
    <n v="1"/>
    <n v="10"/>
    <n v="3"/>
    <n v="9"/>
    <n v="7"/>
    <n v="0"/>
    <n v="5"/>
  </r>
  <r>
    <s v="No"/>
    <s v="Travel_Rarely"/>
    <x v="2"/>
    <s v="Current Employees"/>
    <x v="1"/>
    <x v="0"/>
    <x v="594"/>
    <x v="594"/>
    <x v="1"/>
    <x v="1"/>
    <x v="1"/>
    <s v="No"/>
    <s v="Y"/>
    <n v="3"/>
    <n v="-2"/>
    <n v="0"/>
    <n v="29"/>
    <n v="0"/>
    <m/>
    <n v="0"/>
    <n v="1"/>
    <n v="1252"/>
    <n v="23"/>
    <x v="0"/>
    <n v="1"/>
    <n v="3"/>
    <n v="81"/>
    <n v="4"/>
    <n v="1"/>
    <n v="1"/>
    <n v="2700"/>
    <n v="23779"/>
    <n v="1"/>
    <n v="24"/>
    <n v="4"/>
    <n v="3"/>
    <n v="80"/>
    <n v="1"/>
    <n v="10"/>
    <n v="3"/>
    <n v="10"/>
    <n v="7"/>
    <n v="0"/>
    <n v="7"/>
  </r>
  <r>
    <s v="Yes"/>
    <s v="Travel_Rarely"/>
    <x v="3"/>
    <s v="Ex-Employees"/>
    <x v="1"/>
    <x v="0"/>
    <x v="595"/>
    <x v="595"/>
    <x v="1"/>
    <x v="7"/>
    <x v="0"/>
    <s v="Yes"/>
    <s v="Y"/>
    <n v="2"/>
    <n v="-2"/>
    <n v="0"/>
    <n v="58"/>
    <n v="1"/>
    <n v="1"/>
    <n v="1"/>
    <n v="0"/>
    <n v="286"/>
    <n v="2"/>
    <x v="2"/>
    <n v="1"/>
    <n v="4"/>
    <n v="31"/>
    <n v="3"/>
    <n v="5"/>
    <n v="1"/>
    <n v="19246"/>
    <n v="25761"/>
    <n v="7"/>
    <n v="12"/>
    <n v="3"/>
    <n v="4"/>
    <n v="80"/>
    <n v="0"/>
    <n v="40"/>
    <n v="3"/>
    <n v="31"/>
    <n v="15"/>
    <n v="13"/>
    <n v="8"/>
  </r>
  <r>
    <s v="No"/>
    <s v="Travel_Rarely"/>
    <x v="0"/>
    <s v="Current Employees"/>
    <x v="1"/>
    <x v="0"/>
    <x v="596"/>
    <x v="596"/>
    <x v="0"/>
    <x v="1"/>
    <x v="0"/>
    <s v="No"/>
    <s v="Y"/>
    <n v="0"/>
    <n v="-2"/>
    <n v="0"/>
    <n v="35"/>
    <n v="0"/>
    <m/>
    <n v="0"/>
    <n v="1"/>
    <n v="1258"/>
    <n v="1"/>
    <x v="2"/>
    <n v="1"/>
    <n v="4"/>
    <n v="40"/>
    <n v="4"/>
    <n v="1"/>
    <n v="1"/>
    <n v="2506"/>
    <n v="13301"/>
    <n v="3"/>
    <n v="13"/>
    <n v="3"/>
    <n v="3"/>
    <n v="80"/>
    <n v="0"/>
    <n v="7"/>
    <n v="3"/>
    <n v="2"/>
    <n v="2"/>
    <n v="2"/>
    <n v="2"/>
  </r>
  <r>
    <s v="No"/>
    <s v="Travel_Rarely"/>
    <x v="0"/>
    <s v="Current Employees"/>
    <x v="1"/>
    <x v="0"/>
    <x v="597"/>
    <x v="597"/>
    <x v="0"/>
    <x v="3"/>
    <x v="1"/>
    <s v="Yes"/>
    <s v="Y"/>
    <n v="4"/>
    <n v="-2"/>
    <n v="0"/>
    <n v="42"/>
    <n v="0"/>
    <m/>
    <n v="0"/>
    <n v="1"/>
    <n v="932"/>
    <n v="1"/>
    <x v="0"/>
    <n v="1"/>
    <n v="4"/>
    <n v="43"/>
    <n v="2"/>
    <n v="2"/>
    <n v="1"/>
    <n v="6062"/>
    <n v="4051"/>
    <n v="9"/>
    <n v="13"/>
    <n v="3"/>
    <n v="4"/>
    <n v="80"/>
    <n v="1"/>
    <n v="8"/>
    <n v="3"/>
    <n v="4"/>
    <n v="3"/>
    <n v="0"/>
    <n v="2"/>
  </r>
  <r>
    <s v="Yes"/>
    <s v="Travel_Rarely"/>
    <x v="2"/>
    <s v="Ex-Employees"/>
    <x v="1"/>
    <x v="2"/>
    <x v="598"/>
    <x v="598"/>
    <x v="1"/>
    <x v="1"/>
    <x v="0"/>
    <s v="No"/>
    <s v="Y"/>
    <n v="3"/>
    <n v="-2"/>
    <n v="0"/>
    <n v="28"/>
    <n v="1"/>
    <n v="1"/>
    <n v="1"/>
    <n v="0"/>
    <n v="890"/>
    <n v="2"/>
    <x v="2"/>
    <n v="1"/>
    <n v="3"/>
    <n v="46"/>
    <n v="3"/>
    <n v="1"/>
    <n v="3"/>
    <n v="4382"/>
    <n v="16374"/>
    <n v="6"/>
    <n v="17"/>
    <n v="3"/>
    <n v="4"/>
    <n v="80"/>
    <n v="0"/>
    <n v="5"/>
    <n v="2"/>
    <n v="2"/>
    <n v="2"/>
    <n v="2"/>
    <n v="1"/>
  </r>
  <r>
    <s v="No"/>
    <s v="Travel_Rarely"/>
    <x v="0"/>
    <s v="Current Employees"/>
    <x v="2"/>
    <x v="5"/>
    <x v="599"/>
    <x v="599"/>
    <x v="1"/>
    <x v="8"/>
    <x v="1"/>
    <s v="No"/>
    <s v="Y"/>
    <n v="2"/>
    <n v="-2"/>
    <n v="0"/>
    <n v="36"/>
    <n v="0"/>
    <m/>
    <n v="0"/>
    <n v="1"/>
    <n v="1041"/>
    <n v="13"/>
    <x v="3"/>
    <n v="1"/>
    <n v="3"/>
    <n v="36"/>
    <n v="3"/>
    <n v="1"/>
    <n v="3"/>
    <n v="2143"/>
    <n v="25527"/>
    <n v="4"/>
    <n v="13"/>
    <n v="3"/>
    <n v="2"/>
    <n v="80"/>
    <n v="1"/>
    <n v="8"/>
    <n v="3"/>
    <n v="5"/>
    <n v="2"/>
    <n v="0"/>
    <n v="4"/>
  </r>
  <r>
    <s v="No"/>
    <s v="Travel_Rarely"/>
    <x v="2"/>
    <s v="Current Employees"/>
    <x v="1"/>
    <x v="0"/>
    <x v="600"/>
    <x v="600"/>
    <x v="0"/>
    <x v="3"/>
    <x v="1"/>
    <s v="No"/>
    <s v="Y"/>
    <n v="3"/>
    <n v="-2"/>
    <n v="0"/>
    <n v="32"/>
    <n v="0"/>
    <m/>
    <n v="0"/>
    <n v="1"/>
    <n v="859"/>
    <n v="4"/>
    <x v="3"/>
    <n v="1"/>
    <n v="3"/>
    <n v="98"/>
    <n v="2"/>
    <n v="2"/>
    <n v="1"/>
    <n v="6162"/>
    <n v="19124"/>
    <n v="1"/>
    <n v="12"/>
    <n v="3"/>
    <n v="3"/>
    <n v="80"/>
    <n v="1"/>
    <n v="14"/>
    <n v="3"/>
    <n v="14"/>
    <n v="13"/>
    <n v="6"/>
    <n v="8"/>
  </r>
  <r>
    <s v="No"/>
    <s v="Travel_Frequently"/>
    <x v="0"/>
    <s v="Current Employees"/>
    <x v="1"/>
    <x v="2"/>
    <x v="601"/>
    <x v="601"/>
    <x v="1"/>
    <x v="2"/>
    <x v="0"/>
    <s v="No"/>
    <s v="Y"/>
    <n v="6"/>
    <n v="-2"/>
    <n v="0"/>
    <n v="40"/>
    <n v="0"/>
    <m/>
    <n v="0"/>
    <n v="1"/>
    <n v="720"/>
    <n v="16"/>
    <x v="2"/>
    <n v="1"/>
    <n v="1"/>
    <n v="51"/>
    <n v="2"/>
    <n v="2"/>
    <n v="3"/>
    <n v="5094"/>
    <n v="11983"/>
    <n v="6"/>
    <n v="14"/>
    <n v="3"/>
    <n v="4"/>
    <n v="80"/>
    <n v="0"/>
    <n v="10"/>
    <n v="3"/>
    <n v="1"/>
    <n v="0"/>
    <n v="0"/>
    <n v="0"/>
  </r>
  <r>
    <s v="No"/>
    <s v="Travel_Rarely"/>
    <x v="2"/>
    <s v="Current Employees"/>
    <x v="1"/>
    <x v="2"/>
    <x v="602"/>
    <x v="602"/>
    <x v="0"/>
    <x v="3"/>
    <x v="0"/>
    <s v="Yes"/>
    <s v="Y"/>
    <n v="4"/>
    <n v="-2"/>
    <n v="0"/>
    <n v="30"/>
    <n v="0"/>
    <m/>
    <n v="0"/>
    <n v="1"/>
    <n v="946"/>
    <n v="2"/>
    <x v="3"/>
    <n v="1"/>
    <n v="3"/>
    <n v="52"/>
    <n v="2"/>
    <n v="2"/>
    <n v="4"/>
    <n v="6877"/>
    <n v="20234"/>
    <n v="5"/>
    <n v="24"/>
    <n v="4"/>
    <n v="2"/>
    <n v="80"/>
    <n v="0"/>
    <n v="12"/>
    <n v="2"/>
    <n v="0"/>
    <n v="0"/>
    <n v="0"/>
    <n v="0"/>
  </r>
  <r>
    <s v="No"/>
    <s v="Travel_Rarely"/>
    <x v="1"/>
    <s v="Current Employees"/>
    <x v="1"/>
    <x v="0"/>
    <x v="603"/>
    <x v="603"/>
    <x v="0"/>
    <x v="1"/>
    <x v="0"/>
    <s v="No"/>
    <s v="Y"/>
    <n v="3"/>
    <n v="-2"/>
    <n v="0"/>
    <n v="45"/>
    <n v="0"/>
    <m/>
    <n v="0"/>
    <n v="1"/>
    <n v="252"/>
    <n v="2"/>
    <x v="3"/>
    <n v="1"/>
    <n v="2"/>
    <n v="95"/>
    <n v="2"/>
    <n v="1"/>
    <n v="1"/>
    <n v="2274"/>
    <n v="6153"/>
    <n v="1"/>
    <n v="14"/>
    <n v="3"/>
    <n v="4"/>
    <n v="80"/>
    <n v="0"/>
    <n v="1"/>
    <n v="3"/>
    <n v="1"/>
    <n v="0"/>
    <n v="0"/>
    <n v="0"/>
  </r>
  <r>
    <s v="No"/>
    <s v="Travel_Rarely"/>
    <x v="0"/>
    <s v="Current Employees"/>
    <x v="1"/>
    <x v="0"/>
    <x v="604"/>
    <x v="604"/>
    <x v="1"/>
    <x v="3"/>
    <x v="1"/>
    <s v="No"/>
    <s v="Y"/>
    <n v="3"/>
    <n v="-2"/>
    <n v="0"/>
    <n v="42"/>
    <n v="0"/>
    <m/>
    <n v="0"/>
    <n v="1"/>
    <n v="933"/>
    <n v="29"/>
    <x v="3"/>
    <n v="1"/>
    <n v="2"/>
    <n v="98"/>
    <n v="3"/>
    <n v="2"/>
    <n v="1"/>
    <n v="4434"/>
    <n v="11806"/>
    <n v="1"/>
    <n v="13"/>
    <n v="3"/>
    <n v="4"/>
    <n v="80"/>
    <n v="1"/>
    <n v="10"/>
    <n v="2"/>
    <n v="9"/>
    <n v="8"/>
    <n v="7"/>
    <n v="8"/>
  </r>
  <r>
    <s v="No"/>
    <s v="Travel_Frequently"/>
    <x v="0"/>
    <s v="Current Employees"/>
    <x v="1"/>
    <x v="0"/>
    <x v="605"/>
    <x v="605"/>
    <x v="1"/>
    <x v="4"/>
    <x v="2"/>
    <s v="No"/>
    <s v="Y"/>
    <n v="3"/>
    <n v="-2"/>
    <n v="0"/>
    <n v="38"/>
    <n v="0"/>
    <m/>
    <n v="0"/>
    <n v="1"/>
    <n v="471"/>
    <n v="12"/>
    <x v="3"/>
    <n v="1"/>
    <n v="1"/>
    <n v="45"/>
    <n v="2"/>
    <n v="2"/>
    <n v="1"/>
    <n v="6288"/>
    <n v="4284"/>
    <n v="2"/>
    <n v="15"/>
    <n v="3"/>
    <n v="3"/>
    <n v="80"/>
    <n v="1"/>
    <n v="13"/>
    <n v="2"/>
    <n v="4"/>
    <n v="3"/>
    <n v="1"/>
    <n v="2"/>
  </r>
  <r>
    <s v="No"/>
    <s v="Travel_Frequently"/>
    <x v="2"/>
    <s v="Current Employees"/>
    <x v="1"/>
    <x v="0"/>
    <x v="606"/>
    <x v="606"/>
    <x v="0"/>
    <x v="1"/>
    <x v="0"/>
    <s v="No"/>
    <s v="Y"/>
    <n v="3"/>
    <n v="-2"/>
    <n v="0"/>
    <n v="34"/>
    <n v="0"/>
    <m/>
    <n v="0"/>
    <n v="1"/>
    <n v="702"/>
    <n v="16"/>
    <x v="2"/>
    <n v="1"/>
    <n v="3"/>
    <n v="100"/>
    <n v="2"/>
    <n v="1"/>
    <n v="1"/>
    <n v="2553"/>
    <n v="8306"/>
    <n v="1"/>
    <n v="16"/>
    <n v="3"/>
    <n v="3"/>
    <n v="80"/>
    <n v="0"/>
    <n v="6"/>
    <n v="3"/>
    <n v="5"/>
    <n v="2"/>
    <n v="1"/>
    <n v="3"/>
  </r>
  <r>
    <s v="Yes"/>
    <s v="Travel_Rarely"/>
    <x v="1"/>
    <s v="Ex-Employees"/>
    <x v="0"/>
    <x v="3"/>
    <x v="607"/>
    <x v="607"/>
    <x v="0"/>
    <x v="0"/>
    <x v="1"/>
    <s v="No"/>
    <s v="Y"/>
    <n v="3"/>
    <n v="-2"/>
    <n v="0"/>
    <n v="49"/>
    <n v="1"/>
    <n v="1"/>
    <n v="1"/>
    <n v="0"/>
    <n v="1184"/>
    <n v="11"/>
    <x v="3"/>
    <n v="1"/>
    <n v="3"/>
    <n v="43"/>
    <n v="3"/>
    <n v="3"/>
    <n v="2"/>
    <n v="7654"/>
    <n v="5860"/>
    <n v="1"/>
    <n v="18"/>
    <n v="3"/>
    <n v="1"/>
    <n v="80"/>
    <n v="2"/>
    <n v="9"/>
    <n v="4"/>
    <n v="9"/>
    <n v="8"/>
    <n v="7"/>
    <n v="7"/>
  </r>
  <r>
    <s v="Yes"/>
    <s v="Travel_Rarely"/>
    <x v="3"/>
    <s v="Ex-Employees"/>
    <x v="0"/>
    <x v="2"/>
    <x v="608"/>
    <x v="608"/>
    <x v="1"/>
    <x v="0"/>
    <x v="0"/>
    <s v="No"/>
    <s v="Y"/>
    <n v="3"/>
    <n v="-2"/>
    <n v="0"/>
    <n v="55"/>
    <n v="1"/>
    <n v="1"/>
    <n v="1"/>
    <n v="0"/>
    <n v="436"/>
    <n v="2"/>
    <x v="1"/>
    <n v="1"/>
    <n v="3"/>
    <n v="37"/>
    <n v="3"/>
    <n v="2"/>
    <n v="4"/>
    <n v="5160"/>
    <n v="21519"/>
    <n v="4"/>
    <n v="16"/>
    <n v="3"/>
    <n v="3"/>
    <n v="80"/>
    <n v="0"/>
    <n v="12"/>
    <n v="2"/>
    <n v="9"/>
    <n v="7"/>
    <n v="7"/>
    <n v="3"/>
  </r>
  <r>
    <s v="No"/>
    <s v="Travel_Rarely"/>
    <x v="0"/>
    <s v="Current Employees"/>
    <x v="1"/>
    <x v="0"/>
    <x v="609"/>
    <x v="609"/>
    <x v="1"/>
    <x v="7"/>
    <x v="1"/>
    <s v="No"/>
    <s v="Y"/>
    <n v="3"/>
    <n v="-2"/>
    <n v="0"/>
    <n v="43"/>
    <n v="0"/>
    <m/>
    <n v="0"/>
    <n v="1"/>
    <n v="589"/>
    <n v="14"/>
    <x v="0"/>
    <n v="1"/>
    <n v="2"/>
    <n v="94"/>
    <n v="3"/>
    <n v="4"/>
    <n v="1"/>
    <n v="17159"/>
    <n v="5200"/>
    <n v="6"/>
    <n v="24"/>
    <n v="4"/>
    <n v="3"/>
    <n v="80"/>
    <n v="1"/>
    <n v="22"/>
    <n v="3"/>
    <n v="4"/>
    <n v="1"/>
    <n v="1"/>
    <n v="0"/>
  </r>
  <r>
    <s v="No"/>
    <s v="Travel_Rarely"/>
    <x v="2"/>
    <s v="Current Employees"/>
    <x v="1"/>
    <x v="4"/>
    <x v="610"/>
    <x v="610"/>
    <x v="1"/>
    <x v="7"/>
    <x v="2"/>
    <s v="Yes"/>
    <s v="Y"/>
    <n v="3"/>
    <n v="-2"/>
    <n v="0"/>
    <n v="27"/>
    <n v="0"/>
    <m/>
    <n v="0"/>
    <n v="1"/>
    <n v="269"/>
    <n v="5"/>
    <x v="1"/>
    <n v="1"/>
    <n v="4"/>
    <n v="42"/>
    <n v="2"/>
    <n v="3"/>
    <n v="4"/>
    <n v="12808"/>
    <n v="8842"/>
    <n v="1"/>
    <n v="16"/>
    <n v="3"/>
    <n v="2"/>
    <n v="80"/>
    <n v="1"/>
    <n v="9"/>
    <n v="3"/>
    <n v="9"/>
    <n v="8"/>
    <n v="0"/>
    <n v="8"/>
  </r>
  <r>
    <s v="No"/>
    <s v="Travel_Rarely"/>
    <x v="0"/>
    <s v="Current Employees"/>
    <x v="1"/>
    <x v="1"/>
    <x v="611"/>
    <x v="611"/>
    <x v="1"/>
    <x v="3"/>
    <x v="0"/>
    <s v="No"/>
    <s v="Y"/>
    <n v="3"/>
    <n v="-2"/>
    <n v="0"/>
    <n v="35"/>
    <n v="0"/>
    <m/>
    <n v="0"/>
    <n v="1"/>
    <n v="950"/>
    <n v="7"/>
    <x v="3"/>
    <n v="1"/>
    <n v="3"/>
    <n v="59"/>
    <n v="3"/>
    <n v="3"/>
    <n v="3"/>
    <n v="10221"/>
    <n v="18869"/>
    <n v="3"/>
    <n v="21"/>
    <n v="4"/>
    <n v="2"/>
    <n v="80"/>
    <n v="0"/>
    <n v="17"/>
    <n v="4"/>
    <n v="8"/>
    <n v="5"/>
    <n v="1"/>
    <n v="6"/>
  </r>
  <r>
    <s v="No"/>
    <s v="Travel_Rarely"/>
    <x v="2"/>
    <s v="Current Employees"/>
    <x v="0"/>
    <x v="3"/>
    <x v="612"/>
    <x v="612"/>
    <x v="0"/>
    <x v="0"/>
    <x v="1"/>
    <s v="Yes"/>
    <s v="Y"/>
    <n v="2"/>
    <n v="-2"/>
    <n v="0"/>
    <n v="28"/>
    <n v="0"/>
    <m/>
    <n v="0"/>
    <n v="1"/>
    <n v="760"/>
    <n v="2"/>
    <x v="2"/>
    <n v="1"/>
    <n v="2"/>
    <n v="81"/>
    <n v="3"/>
    <n v="2"/>
    <n v="2"/>
    <n v="4779"/>
    <n v="3698"/>
    <n v="1"/>
    <n v="20"/>
    <n v="4"/>
    <n v="1"/>
    <n v="80"/>
    <n v="0"/>
    <n v="8"/>
    <n v="3"/>
    <n v="8"/>
    <n v="7"/>
    <n v="7"/>
    <n v="5"/>
  </r>
  <r>
    <s v="No"/>
    <s v="Travel_Rarely"/>
    <x v="2"/>
    <s v="Current Employees"/>
    <x v="2"/>
    <x v="5"/>
    <x v="613"/>
    <x v="613"/>
    <x v="1"/>
    <x v="8"/>
    <x v="1"/>
    <s v="No"/>
    <s v="Y"/>
    <n v="1"/>
    <n v="-2"/>
    <n v="0"/>
    <n v="34"/>
    <n v="0"/>
    <m/>
    <n v="0"/>
    <n v="1"/>
    <n v="829"/>
    <n v="3"/>
    <x v="0"/>
    <n v="1"/>
    <n v="3"/>
    <n v="88"/>
    <n v="3"/>
    <n v="1"/>
    <n v="4"/>
    <n v="3737"/>
    <n v="2243"/>
    <n v="0"/>
    <n v="19"/>
    <n v="3"/>
    <n v="3"/>
    <n v="80"/>
    <n v="1"/>
    <n v="4"/>
    <n v="1"/>
    <n v="3"/>
    <n v="2"/>
    <n v="0"/>
    <n v="2"/>
  </r>
  <r>
    <s v="Yes"/>
    <s v="Travel_Frequently"/>
    <x v="2"/>
    <s v="Ex-Employees"/>
    <x v="1"/>
    <x v="2"/>
    <x v="614"/>
    <x v="614"/>
    <x v="0"/>
    <x v="1"/>
    <x v="1"/>
    <s v="Yes"/>
    <s v="Y"/>
    <n v="2"/>
    <n v="-2"/>
    <n v="0"/>
    <n v="26"/>
    <n v="1"/>
    <n v="1"/>
    <n v="1"/>
    <n v="0"/>
    <n v="887"/>
    <n v="5"/>
    <x v="0"/>
    <n v="1"/>
    <n v="3"/>
    <n v="88"/>
    <n v="2"/>
    <n v="1"/>
    <n v="3"/>
    <n v="2366"/>
    <n v="20898"/>
    <n v="1"/>
    <n v="14"/>
    <n v="3"/>
    <n v="1"/>
    <n v="80"/>
    <n v="1"/>
    <n v="8"/>
    <n v="3"/>
    <n v="8"/>
    <n v="7"/>
    <n v="1"/>
    <n v="7"/>
  </r>
  <r>
    <s v="No"/>
    <s v="Non-Travel"/>
    <x v="2"/>
    <s v="Current Employees"/>
    <x v="1"/>
    <x v="2"/>
    <x v="615"/>
    <x v="615"/>
    <x v="1"/>
    <x v="1"/>
    <x v="1"/>
    <s v="No"/>
    <s v="Y"/>
    <n v="6"/>
    <n v="-2"/>
    <n v="0"/>
    <n v="27"/>
    <n v="0"/>
    <m/>
    <n v="0"/>
    <n v="1"/>
    <n v="443"/>
    <n v="3"/>
    <x v="3"/>
    <n v="1"/>
    <n v="4"/>
    <n v="50"/>
    <n v="3"/>
    <n v="1"/>
    <n v="4"/>
    <n v="1706"/>
    <n v="16571"/>
    <n v="1"/>
    <n v="11"/>
    <n v="3"/>
    <n v="3"/>
    <n v="80"/>
    <n v="3"/>
    <n v="0"/>
    <n v="2"/>
    <n v="0"/>
    <n v="0"/>
    <n v="0"/>
    <n v="0"/>
  </r>
  <r>
    <s v="No"/>
    <s v="Travel_Rarely"/>
    <x v="1"/>
    <s v="Current Employees"/>
    <x v="0"/>
    <x v="3"/>
    <x v="616"/>
    <x v="616"/>
    <x v="0"/>
    <x v="5"/>
    <x v="1"/>
    <s v="No"/>
    <s v="Y"/>
    <n v="2"/>
    <n v="-2"/>
    <n v="0"/>
    <n v="51"/>
    <n v="0"/>
    <m/>
    <n v="0"/>
    <n v="1"/>
    <n v="1318"/>
    <n v="26"/>
    <x v="2"/>
    <n v="1"/>
    <n v="1"/>
    <n v="66"/>
    <n v="3"/>
    <n v="4"/>
    <n v="2"/>
    <n v="16307"/>
    <n v="5594"/>
    <n v="2"/>
    <n v="14"/>
    <n v="3"/>
    <n v="3"/>
    <n v="80"/>
    <n v="1"/>
    <n v="29"/>
    <n v="2"/>
    <n v="20"/>
    <n v="6"/>
    <n v="4"/>
    <n v="17"/>
  </r>
  <r>
    <s v="No"/>
    <s v="Travel_Rarely"/>
    <x v="0"/>
    <s v="Current Employees"/>
    <x v="1"/>
    <x v="2"/>
    <x v="617"/>
    <x v="617"/>
    <x v="1"/>
    <x v="4"/>
    <x v="0"/>
    <s v="No"/>
    <s v="Y"/>
    <n v="2"/>
    <n v="-2"/>
    <n v="0"/>
    <n v="44"/>
    <n v="0"/>
    <m/>
    <n v="0"/>
    <n v="1"/>
    <n v="625"/>
    <n v="4"/>
    <x v="3"/>
    <n v="1"/>
    <n v="4"/>
    <n v="50"/>
    <n v="3"/>
    <n v="2"/>
    <n v="3"/>
    <n v="5933"/>
    <n v="5197"/>
    <n v="9"/>
    <n v="12"/>
    <n v="3"/>
    <n v="4"/>
    <n v="80"/>
    <n v="0"/>
    <n v="10"/>
    <n v="2"/>
    <n v="5"/>
    <n v="2"/>
    <n v="2"/>
    <n v="3"/>
  </r>
  <r>
    <s v="No"/>
    <s v="Travel_Rarely"/>
    <x v="2"/>
    <s v="Current Employees"/>
    <x v="1"/>
    <x v="2"/>
    <x v="618"/>
    <x v="618"/>
    <x v="1"/>
    <x v="1"/>
    <x v="0"/>
    <s v="No"/>
    <s v="Y"/>
    <n v="3"/>
    <n v="-2"/>
    <n v="0"/>
    <n v="25"/>
    <n v="0"/>
    <m/>
    <n v="0"/>
    <n v="1"/>
    <n v="180"/>
    <n v="2"/>
    <x v="1"/>
    <n v="1"/>
    <n v="1"/>
    <n v="65"/>
    <n v="4"/>
    <n v="1"/>
    <n v="3"/>
    <n v="3424"/>
    <n v="21632"/>
    <n v="7"/>
    <n v="13"/>
    <n v="3"/>
    <n v="3"/>
    <n v="80"/>
    <n v="0"/>
    <n v="6"/>
    <n v="2"/>
    <n v="4"/>
    <n v="3"/>
    <n v="0"/>
    <n v="1"/>
  </r>
  <r>
    <s v="No"/>
    <s v="Travel_Rarely"/>
    <x v="2"/>
    <s v="Current Employees"/>
    <x v="0"/>
    <x v="2"/>
    <x v="619"/>
    <x v="619"/>
    <x v="1"/>
    <x v="0"/>
    <x v="2"/>
    <s v="No"/>
    <s v="Y"/>
    <n v="5"/>
    <n v="-2"/>
    <n v="0"/>
    <n v="33"/>
    <n v="0"/>
    <m/>
    <n v="0"/>
    <n v="1"/>
    <n v="586"/>
    <n v="1"/>
    <x v="3"/>
    <n v="1"/>
    <n v="1"/>
    <n v="48"/>
    <n v="4"/>
    <n v="2"/>
    <n v="3"/>
    <n v="4037"/>
    <n v="21816"/>
    <n v="1"/>
    <n v="22"/>
    <n v="4"/>
    <n v="1"/>
    <n v="80"/>
    <n v="1"/>
    <n v="9"/>
    <n v="3"/>
    <n v="9"/>
    <n v="8"/>
    <n v="0"/>
    <n v="8"/>
  </r>
  <r>
    <s v="No"/>
    <s v="Travel_Rarely"/>
    <x v="0"/>
    <s v="Current Employees"/>
    <x v="1"/>
    <x v="2"/>
    <x v="620"/>
    <x v="620"/>
    <x v="0"/>
    <x v="1"/>
    <x v="0"/>
    <s v="No"/>
    <s v="Y"/>
    <n v="3"/>
    <n v="-2"/>
    <n v="0"/>
    <n v="35"/>
    <n v="0"/>
    <m/>
    <n v="0"/>
    <n v="1"/>
    <n v="1343"/>
    <n v="27"/>
    <x v="1"/>
    <n v="1"/>
    <n v="3"/>
    <n v="53"/>
    <n v="2"/>
    <n v="1"/>
    <n v="3"/>
    <n v="2559"/>
    <n v="17852"/>
    <n v="1"/>
    <n v="11"/>
    <n v="3"/>
    <n v="4"/>
    <n v="80"/>
    <n v="0"/>
    <n v="6"/>
    <n v="2"/>
    <n v="6"/>
    <n v="5"/>
    <n v="1"/>
    <n v="1"/>
  </r>
  <r>
    <s v="No"/>
    <s v="Travel_Rarely"/>
    <x v="0"/>
    <s v="Current Employees"/>
    <x v="0"/>
    <x v="0"/>
    <x v="621"/>
    <x v="621"/>
    <x v="1"/>
    <x v="0"/>
    <x v="1"/>
    <s v="Yes"/>
    <s v="Y"/>
    <n v="1"/>
    <n v="-2"/>
    <n v="0"/>
    <n v="36"/>
    <n v="0"/>
    <m/>
    <n v="0"/>
    <n v="1"/>
    <n v="928"/>
    <n v="1"/>
    <x v="0"/>
    <n v="1"/>
    <n v="2"/>
    <n v="56"/>
    <n v="3"/>
    <n v="2"/>
    <n v="1"/>
    <n v="6201"/>
    <n v="2823"/>
    <n v="1"/>
    <n v="14"/>
    <n v="3"/>
    <n v="4"/>
    <n v="80"/>
    <n v="1"/>
    <n v="18"/>
    <n v="2"/>
    <n v="18"/>
    <n v="14"/>
    <n v="4"/>
    <n v="11"/>
  </r>
  <r>
    <s v="No"/>
    <s v="Travel_Rarely"/>
    <x v="2"/>
    <s v="Current Employees"/>
    <x v="0"/>
    <x v="0"/>
    <x v="622"/>
    <x v="622"/>
    <x v="1"/>
    <x v="0"/>
    <x v="2"/>
    <s v="No"/>
    <s v="Y"/>
    <n v="3"/>
    <n v="-2"/>
    <n v="0"/>
    <n v="32"/>
    <n v="0"/>
    <m/>
    <n v="0"/>
    <n v="1"/>
    <n v="117"/>
    <n v="13"/>
    <x v="2"/>
    <n v="1"/>
    <n v="2"/>
    <n v="73"/>
    <n v="3"/>
    <n v="2"/>
    <n v="1"/>
    <n v="4403"/>
    <n v="9250"/>
    <n v="2"/>
    <n v="11"/>
    <n v="3"/>
    <n v="3"/>
    <n v="80"/>
    <n v="1"/>
    <n v="8"/>
    <n v="2"/>
    <n v="5"/>
    <n v="2"/>
    <n v="0"/>
    <n v="3"/>
  </r>
  <r>
    <s v="No"/>
    <s v="Travel_Frequently"/>
    <x v="2"/>
    <s v="Current Employees"/>
    <x v="1"/>
    <x v="0"/>
    <x v="623"/>
    <x v="623"/>
    <x v="1"/>
    <x v="1"/>
    <x v="2"/>
    <s v="No"/>
    <s v="Y"/>
    <n v="3"/>
    <n v="-2"/>
    <n v="0"/>
    <n v="30"/>
    <n v="0"/>
    <m/>
    <n v="0"/>
    <n v="1"/>
    <n v="1012"/>
    <n v="5"/>
    <x v="2"/>
    <n v="1"/>
    <n v="2"/>
    <n v="75"/>
    <n v="2"/>
    <n v="1"/>
    <n v="1"/>
    <n v="3761"/>
    <n v="2373"/>
    <n v="9"/>
    <n v="12"/>
    <n v="3"/>
    <n v="2"/>
    <n v="80"/>
    <n v="1"/>
    <n v="10"/>
    <n v="2"/>
    <n v="5"/>
    <n v="4"/>
    <n v="0"/>
    <n v="3"/>
  </r>
  <r>
    <s v="No"/>
    <s v="Travel_Rarely"/>
    <x v="1"/>
    <s v="Current Employees"/>
    <x v="0"/>
    <x v="3"/>
    <x v="624"/>
    <x v="624"/>
    <x v="0"/>
    <x v="0"/>
    <x v="1"/>
    <s v="Yes"/>
    <s v="Y"/>
    <n v="3"/>
    <n v="-2"/>
    <n v="0"/>
    <n v="53"/>
    <n v="0"/>
    <m/>
    <n v="0"/>
    <n v="1"/>
    <n v="661"/>
    <n v="7"/>
    <x v="0"/>
    <n v="1"/>
    <n v="1"/>
    <n v="78"/>
    <n v="2"/>
    <n v="3"/>
    <n v="2"/>
    <n v="10934"/>
    <n v="20715"/>
    <n v="7"/>
    <n v="18"/>
    <n v="3"/>
    <n v="4"/>
    <n v="80"/>
    <n v="1"/>
    <n v="35"/>
    <n v="3"/>
    <n v="5"/>
    <n v="2"/>
    <n v="0"/>
    <n v="4"/>
  </r>
  <r>
    <s v="No"/>
    <s v="Travel_Rarely"/>
    <x v="1"/>
    <s v="Current Employees"/>
    <x v="0"/>
    <x v="3"/>
    <x v="625"/>
    <x v="625"/>
    <x v="1"/>
    <x v="0"/>
    <x v="2"/>
    <s v="Yes"/>
    <s v="Y"/>
    <n v="2"/>
    <n v="-2"/>
    <n v="0"/>
    <n v="45"/>
    <n v="0"/>
    <m/>
    <n v="0"/>
    <n v="1"/>
    <n v="930"/>
    <n v="9"/>
    <x v="3"/>
    <n v="1"/>
    <n v="4"/>
    <n v="74"/>
    <n v="3"/>
    <n v="3"/>
    <n v="2"/>
    <n v="10761"/>
    <n v="19239"/>
    <n v="4"/>
    <n v="12"/>
    <n v="3"/>
    <n v="3"/>
    <n v="80"/>
    <n v="1"/>
    <n v="18"/>
    <n v="3"/>
    <n v="5"/>
    <n v="4"/>
    <n v="0"/>
    <n v="2"/>
  </r>
  <r>
    <s v="No"/>
    <s v="Travel_Rarely"/>
    <x v="2"/>
    <s v="Current Employees"/>
    <x v="1"/>
    <x v="2"/>
    <x v="626"/>
    <x v="626"/>
    <x v="0"/>
    <x v="1"/>
    <x v="1"/>
    <s v="No"/>
    <s v="Y"/>
    <n v="3"/>
    <n v="-2"/>
    <n v="0"/>
    <n v="32"/>
    <n v="0"/>
    <m/>
    <n v="0"/>
    <n v="1"/>
    <n v="638"/>
    <n v="8"/>
    <x v="0"/>
    <n v="1"/>
    <n v="3"/>
    <n v="91"/>
    <n v="4"/>
    <n v="2"/>
    <n v="3"/>
    <n v="5175"/>
    <n v="22162"/>
    <n v="5"/>
    <n v="12"/>
    <n v="3"/>
    <n v="3"/>
    <n v="80"/>
    <n v="1"/>
    <n v="9"/>
    <n v="2"/>
    <n v="5"/>
    <n v="3"/>
    <n v="1"/>
    <n v="3"/>
  </r>
  <r>
    <s v="No"/>
    <s v="Travel_Frequently"/>
    <x v="1"/>
    <s v="Current Employees"/>
    <x v="1"/>
    <x v="2"/>
    <x v="627"/>
    <x v="627"/>
    <x v="0"/>
    <x v="3"/>
    <x v="1"/>
    <s v="No"/>
    <s v="Y"/>
    <n v="3"/>
    <n v="-2"/>
    <n v="0"/>
    <n v="52"/>
    <n v="0"/>
    <m/>
    <n v="0"/>
    <n v="1"/>
    <n v="890"/>
    <n v="25"/>
    <x v="2"/>
    <n v="1"/>
    <n v="3"/>
    <n v="81"/>
    <n v="2"/>
    <n v="4"/>
    <n v="4"/>
    <n v="13826"/>
    <n v="19028"/>
    <n v="3"/>
    <n v="22"/>
    <n v="4"/>
    <n v="3"/>
    <n v="80"/>
    <n v="0"/>
    <n v="31"/>
    <n v="3"/>
    <n v="9"/>
    <n v="8"/>
    <n v="0"/>
    <n v="0"/>
  </r>
  <r>
    <s v="No"/>
    <s v="Travel_Rarely"/>
    <x v="0"/>
    <s v="Current Employees"/>
    <x v="0"/>
    <x v="3"/>
    <x v="628"/>
    <x v="628"/>
    <x v="1"/>
    <x v="0"/>
    <x v="2"/>
    <s v="No"/>
    <s v="Y"/>
    <n v="2"/>
    <n v="-2"/>
    <n v="0"/>
    <n v="37"/>
    <n v="0"/>
    <m/>
    <n v="0"/>
    <n v="1"/>
    <n v="342"/>
    <n v="16"/>
    <x v="2"/>
    <n v="1"/>
    <n v="4"/>
    <n v="66"/>
    <n v="2"/>
    <n v="2"/>
    <n v="2"/>
    <n v="6334"/>
    <n v="24558"/>
    <n v="4"/>
    <n v="19"/>
    <n v="3"/>
    <n v="4"/>
    <n v="80"/>
    <n v="2"/>
    <n v="9"/>
    <n v="3"/>
    <n v="1"/>
    <n v="0"/>
    <n v="0"/>
    <n v="0"/>
  </r>
  <r>
    <s v="No"/>
    <s v="Travel_Rarely"/>
    <x v="2"/>
    <s v="Current Employees"/>
    <x v="2"/>
    <x v="2"/>
    <x v="629"/>
    <x v="629"/>
    <x v="1"/>
    <x v="8"/>
    <x v="2"/>
    <s v="No"/>
    <s v="Y"/>
    <n v="6"/>
    <n v="-2"/>
    <n v="0"/>
    <n v="28"/>
    <n v="0"/>
    <m/>
    <n v="0"/>
    <n v="1"/>
    <n v="1169"/>
    <n v="8"/>
    <x v="0"/>
    <n v="1"/>
    <n v="2"/>
    <n v="63"/>
    <n v="2"/>
    <n v="1"/>
    <n v="4"/>
    <n v="4936"/>
    <n v="23965"/>
    <n v="1"/>
    <n v="13"/>
    <n v="3"/>
    <n v="4"/>
    <n v="80"/>
    <n v="1"/>
    <n v="6"/>
    <n v="3"/>
    <n v="5"/>
    <n v="1"/>
    <n v="0"/>
    <n v="4"/>
  </r>
  <r>
    <s v="No"/>
    <s v="Travel_Rarely"/>
    <x v="4"/>
    <s v="Current Employees"/>
    <x v="1"/>
    <x v="0"/>
    <x v="630"/>
    <x v="630"/>
    <x v="1"/>
    <x v="3"/>
    <x v="1"/>
    <s v="No"/>
    <s v="Y"/>
    <n v="2"/>
    <n v="-2"/>
    <n v="0"/>
    <n v="22"/>
    <n v="0"/>
    <m/>
    <n v="0"/>
    <n v="1"/>
    <n v="1230"/>
    <n v="1"/>
    <x v="0"/>
    <n v="1"/>
    <n v="4"/>
    <n v="33"/>
    <n v="2"/>
    <n v="2"/>
    <n v="1"/>
    <n v="4775"/>
    <n v="19146"/>
    <n v="6"/>
    <n v="22"/>
    <n v="4"/>
    <n v="1"/>
    <n v="80"/>
    <n v="2"/>
    <n v="4"/>
    <n v="1"/>
    <n v="2"/>
    <n v="2"/>
    <n v="2"/>
    <n v="2"/>
  </r>
  <r>
    <s v="No"/>
    <s v="Travel_Rarely"/>
    <x v="0"/>
    <s v="Current Employees"/>
    <x v="1"/>
    <x v="0"/>
    <x v="631"/>
    <x v="631"/>
    <x v="1"/>
    <x v="2"/>
    <x v="1"/>
    <s v="Yes"/>
    <s v="Y"/>
    <n v="2"/>
    <n v="-2"/>
    <n v="0"/>
    <n v="44"/>
    <n v="0"/>
    <m/>
    <n v="0"/>
    <n v="1"/>
    <n v="986"/>
    <n v="8"/>
    <x v="2"/>
    <n v="1"/>
    <n v="1"/>
    <n v="62"/>
    <n v="4"/>
    <n v="1"/>
    <n v="1"/>
    <n v="2818"/>
    <n v="5044"/>
    <n v="2"/>
    <n v="24"/>
    <n v="4"/>
    <n v="3"/>
    <n v="80"/>
    <n v="1"/>
    <n v="10"/>
    <n v="2"/>
    <n v="3"/>
    <n v="2"/>
    <n v="0"/>
    <n v="2"/>
  </r>
  <r>
    <s v="No"/>
    <s v="Travel_Frequently"/>
    <x v="0"/>
    <s v="Current Employees"/>
    <x v="1"/>
    <x v="2"/>
    <x v="632"/>
    <x v="632"/>
    <x v="1"/>
    <x v="1"/>
    <x v="0"/>
    <s v="Yes"/>
    <s v="Y"/>
    <n v="2"/>
    <n v="-2"/>
    <n v="0"/>
    <n v="42"/>
    <n v="0"/>
    <m/>
    <n v="0"/>
    <n v="1"/>
    <n v="1271"/>
    <n v="2"/>
    <x v="1"/>
    <n v="1"/>
    <n v="2"/>
    <n v="35"/>
    <n v="3"/>
    <n v="1"/>
    <n v="4"/>
    <n v="2515"/>
    <n v="9068"/>
    <n v="5"/>
    <n v="14"/>
    <n v="3"/>
    <n v="4"/>
    <n v="80"/>
    <n v="0"/>
    <n v="8"/>
    <n v="3"/>
    <n v="2"/>
    <n v="1"/>
    <n v="2"/>
    <n v="2"/>
  </r>
  <r>
    <s v="No"/>
    <s v="Travel_Rarely"/>
    <x v="0"/>
    <s v="Current Employees"/>
    <x v="2"/>
    <x v="0"/>
    <x v="633"/>
    <x v="633"/>
    <x v="1"/>
    <x v="8"/>
    <x v="1"/>
    <s v="No"/>
    <s v="Y"/>
    <n v="3"/>
    <n v="-2"/>
    <n v="0"/>
    <n v="36"/>
    <n v="0"/>
    <m/>
    <n v="0"/>
    <n v="1"/>
    <n v="1278"/>
    <n v="8"/>
    <x v="3"/>
    <n v="1"/>
    <n v="1"/>
    <n v="77"/>
    <n v="2"/>
    <n v="1"/>
    <n v="1"/>
    <n v="2342"/>
    <n v="8635"/>
    <n v="0"/>
    <n v="21"/>
    <n v="4"/>
    <n v="3"/>
    <n v="80"/>
    <n v="0"/>
    <n v="6"/>
    <n v="3"/>
    <n v="5"/>
    <n v="4"/>
    <n v="0"/>
    <n v="3"/>
  </r>
  <r>
    <s v="No"/>
    <s v="Travel_Rarely"/>
    <x v="2"/>
    <s v="Current Employees"/>
    <x v="0"/>
    <x v="1"/>
    <x v="634"/>
    <x v="634"/>
    <x v="1"/>
    <x v="0"/>
    <x v="1"/>
    <s v="Yes"/>
    <s v="Y"/>
    <n v="3"/>
    <n v="-2"/>
    <n v="0"/>
    <n v="25"/>
    <n v="0"/>
    <m/>
    <n v="0"/>
    <n v="1"/>
    <n v="141"/>
    <n v="3"/>
    <x v="1"/>
    <n v="1"/>
    <n v="3"/>
    <n v="98"/>
    <n v="3"/>
    <n v="2"/>
    <n v="3"/>
    <n v="4194"/>
    <n v="14363"/>
    <n v="1"/>
    <n v="18"/>
    <n v="3"/>
    <n v="4"/>
    <n v="80"/>
    <n v="0"/>
    <n v="5"/>
    <n v="3"/>
    <n v="5"/>
    <n v="3"/>
    <n v="0"/>
    <n v="3"/>
  </r>
  <r>
    <s v="No"/>
    <s v="Travel_Rarely"/>
    <x v="0"/>
    <s v="Current Employees"/>
    <x v="1"/>
    <x v="0"/>
    <x v="635"/>
    <x v="635"/>
    <x v="0"/>
    <x v="3"/>
    <x v="1"/>
    <s v="Yes"/>
    <s v="Y"/>
    <n v="2"/>
    <n v="-2"/>
    <n v="0"/>
    <n v="35"/>
    <n v="0"/>
    <m/>
    <n v="0"/>
    <n v="1"/>
    <n v="607"/>
    <n v="9"/>
    <x v="3"/>
    <n v="1"/>
    <n v="4"/>
    <n v="66"/>
    <n v="2"/>
    <n v="3"/>
    <n v="1"/>
    <n v="10685"/>
    <n v="23457"/>
    <n v="1"/>
    <n v="20"/>
    <n v="4"/>
    <n v="2"/>
    <n v="80"/>
    <n v="1"/>
    <n v="17"/>
    <n v="3"/>
    <n v="17"/>
    <n v="14"/>
    <n v="5"/>
    <n v="15"/>
  </r>
  <r>
    <s v="Yes"/>
    <s v="Travel_Frequently"/>
    <x v="0"/>
    <s v="Ex-Employees"/>
    <x v="1"/>
    <x v="0"/>
    <x v="636"/>
    <x v="636"/>
    <x v="0"/>
    <x v="1"/>
    <x v="2"/>
    <s v="Yes"/>
    <s v="Y"/>
    <n v="3"/>
    <n v="-2"/>
    <n v="0"/>
    <n v="35"/>
    <n v="1"/>
    <n v="1"/>
    <n v="1"/>
    <n v="0"/>
    <n v="130"/>
    <n v="25"/>
    <x v="2"/>
    <n v="1"/>
    <n v="4"/>
    <n v="96"/>
    <n v="3"/>
    <n v="1"/>
    <n v="1"/>
    <n v="2022"/>
    <n v="16612"/>
    <n v="1"/>
    <n v="19"/>
    <n v="3"/>
    <n v="1"/>
    <n v="80"/>
    <n v="1"/>
    <n v="10"/>
    <n v="2"/>
    <n v="10"/>
    <n v="2"/>
    <n v="7"/>
    <n v="8"/>
  </r>
  <r>
    <s v="No"/>
    <s v="Non-Travel"/>
    <x v="2"/>
    <s v="Current Employees"/>
    <x v="1"/>
    <x v="0"/>
    <x v="637"/>
    <x v="637"/>
    <x v="1"/>
    <x v="2"/>
    <x v="2"/>
    <s v="No"/>
    <s v="Y"/>
    <n v="2"/>
    <n v="-2"/>
    <n v="0"/>
    <n v="32"/>
    <n v="0"/>
    <m/>
    <n v="0"/>
    <n v="1"/>
    <n v="300"/>
    <n v="1"/>
    <x v="3"/>
    <n v="1"/>
    <n v="4"/>
    <n v="61"/>
    <n v="3"/>
    <n v="1"/>
    <n v="1"/>
    <n v="2314"/>
    <n v="9148"/>
    <n v="0"/>
    <n v="12"/>
    <n v="3"/>
    <n v="2"/>
    <n v="80"/>
    <n v="1"/>
    <n v="4"/>
    <n v="3"/>
    <n v="3"/>
    <n v="0"/>
    <n v="0"/>
    <n v="2"/>
  </r>
  <r>
    <s v="No"/>
    <s v="Travel_Rarely"/>
    <x v="2"/>
    <s v="Current Employees"/>
    <x v="0"/>
    <x v="3"/>
    <x v="638"/>
    <x v="638"/>
    <x v="1"/>
    <x v="0"/>
    <x v="1"/>
    <s v="No"/>
    <s v="Y"/>
    <n v="1"/>
    <n v="-2"/>
    <n v="0"/>
    <n v="25"/>
    <n v="0"/>
    <m/>
    <n v="0"/>
    <n v="1"/>
    <n v="583"/>
    <n v="4"/>
    <x v="1"/>
    <n v="1"/>
    <n v="3"/>
    <n v="87"/>
    <n v="2"/>
    <n v="2"/>
    <n v="2"/>
    <n v="4256"/>
    <n v="18154"/>
    <n v="1"/>
    <n v="12"/>
    <n v="3"/>
    <n v="1"/>
    <n v="80"/>
    <n v="0"/>
    <n v="5"/>
    <n v="4"/>
    <n v="5"/>
    <n v="2"/>
    <n v="0"/>
    <n v="3"/>
  </r>
  <r>
    <s v="No"/>
    <s v="Travel_Rarely"/>
    <x v="1"/>
    <s v="Current Employees"/>
    <x v="1"/>
    <x v="4"/>
    <x v="639"/>
    <x v="639"/>
    <x v="0"/>
    <x v="1"/>
    <x v="1"/>
    <s v="No"/>
    <s v="Y"/>
    <n v="2"/>
    <n v="-2"/>
    <n v="0"/>
    <n v="49"/>
    <n v="0"/>
    <m/>
    <n v="0"/>
    <n v="1"/>
    <n v="1418"/>
    <n v="1"/>
    <x v="3"/>
    <n v="1"/>
    <n v="4"/>
    <n v="36"/>
    <n v="3"/>
    <n v="1"/>
    <n v="4"/>
    <n v="3580"/>
    <n v="10554"/>
    <n v="2"/>
    <n v="16"/>
    <n v="3"/>
    <n v="2"/>
    <n v="80"/>
    <n v="1"/>
    <n v="7"/>
    <n v="3"/>
    <n v="4"/>
    <n v="2"/>
    <n v="0"/>
    <n v="2"/>
  </r>
  <r>
    <s v="No"/>
    <s v="Non-Travel"/>
    <x v="4"/>
    <s v="Current Employees"/>
    <x v="1"/>
    <x v="0"/>
    <x v="640"/>
    <x v="640"/>
    <x v="1"/>
    <x v="2"/>
    <x v="1"/>
    <s v="No"/>
    <s v="Y"/>
    <n v="2"/>
    <n v="-2"/>
    <n v="0"/>
    <n v="24"/>
    <n v="0"/>
    <m/>
    <n v="0"/>
    <n v="1"/>
    <n v="1269"/>
    <n v="4"/>
    <x v="1"/>
    <n v="1"/>
    <n v="1"/>
    <n v="46"/>
    <n v="2"/>
    <n v="1"/>
    <n v="1"/>
    <n v="3162"/>
    <n v="10778"/>
    <n v="0"/>
    <n v="17"/>
    <n v="3"/>
    <n v="4"/>
    <n v="80"/>
    <n v="0"/>
    <n v="6"/>
    <n v="2"/>
    <n v="5"/>
    <n v="2"/>
    <n v="3"/>
    <n v="4"/>
  </r>
  <r>
    <s v="No"/>
    <s v="Travel_Frequently"/>
    <x v="2"/>
    <s v="Current Employees"/>
    <x v="0"/>
    <x v="0"/>
    <x v="641"/>
    <x v="641"/>
    <x v="1"/>
    <x v="0"/>
    <x v="1"/>
    <s v="No"/>
    <s v="Y"/>
    <n v="3"/>
    <n v="-2"/>
    <n v="0"/>
    <n v="32"/>
    <n v="0"/>
    <m/>
    <n v="0"/>
    <n v="1"/>
    <n v="379"/>
    <n v="5"/>
    <x v="0"/>
    <n v="1"/>
    <n v="2"/>
    <n v="48"/>
    <n v="3"/>
    <n v="2"/>
    <n v="1"/>
    <n v="6524"/>
    <n v="8891"/>
    <n v="1"/>
    <n v="14"/>
    <n v="3"/>
    <n v="4"/>
    <n v="80"/>
    <n v="1"/>
    <n v="10"/>
    <n v="3"/>
    <n v="10"/>
    <n v="8"/>
    <n v="5"/>
    <n v="3"/>
  </r>
  <r>
    <s v="No"/>
    <s v="Travel_Rarely"/>
    <x v="0"/>
    <s v="Current Employees"/>
    <x v="0"/>
    <x v="3"/>
    <x v="642"/>
    <x v="642"/>
    <x v="1"/>
    <x v="6"/>
    <x v="1"/>
    <s v="No"/>
    <s v="Y"/>
    <n v="3"/>
    <n v="-2"/>
    <n v="0"/>
    <n v="38"/>
    <n v="0"/>
    <m/>
    <n v="0"/>
    <n v="1"/>
    <n v="395"/>
    <n v="9"/>
    <x v="3"/>
    <n v="1"/>
    <n v="2"/>
    <n v="98"/>
    <n v="2"/>
    <n v="1"/>
    <n v="2"/>
    <n v="2899"/>
    <n v="12102"/>
    <n v="0"/>
    <n v="19"/>
    <n v="3"/>
    <n v="4"/>
    <n v="80"/>
    <n v="1"/>
    <n v="3"/>
    <n v="3"/>
    <n v="2"/>
    <n v="2"/>
    <n v="1"/>
    <n v="2"/>
  </r>
  <r>
    <s v="No"/>
    <s v="Travel_Rarely"/>
    <x v="0"/>
    <s v="Current Employees"/>
    <x v="1"/>
    <x v="0"/>
    <x v="643"/>
    <x v="643"/>
    <x v="0"/>
    <x v="2"/>
    <x v="1"/>
    <s v="Yes"/>
    <s v="Y"/>
    <n v="1"/>
    <n v="-2"/>
    <n v="0"/>
    <n v="42"/>
    <n v="0"/>
    <m/>
    <n v="0"/>
    <n v="1"/>
    <n v="1265"/>
    <n v="3"/>
    <x v="3"/>
    <n v="1"/>
    <n v="3"/>
    <n v="95"/>
    <n v="4"/>
    <n v="2"/>
    <n v="1"/>
    <n v="5231"/>
    <n v="23726"/>
    <n v="2"/>
    <n v="13"/>
    <n v="3"/>
    <n v="2"/>
    <n v="80"/>
    <n v="1"/>
    <n v="17"/>
    <n v="2"/>
    <n v="5"/>
    <n v="3"/>
    <n v="1"/>
    <n v="3"/>
  </r>
  <r>
    <s v="No"/>
    <s v="Travel_Rarely"/>
    <x v="2"/>
    <s v="Current Employees"/>
    <x v="1"/>
    <x v="0"/>
    <x v="644"/>
    <x v="644"/>
    <x v="1"/>
    <x v="1"/>
    <x v="1"/>
    <s v="Yes"/>
    <s v="Y"/>
    <n v="2"/>
    <n v="-2"/>
    <n v="0"/>
    <n v="31"/>
    <n v="0"/>
    <m/>
    <n v="0"/>
    <n v="1"/>
    <n v="1222"/>
    <n v="11"/>
    <x v="2"/>
    <n v="1"/>
    <n v="4"/>
    <n v="48"/>
    <n v="3"/>
    <n v="1"/>
    <n v="1"/>
    <n v="2356"/>
    <n v="14871"/>
    <n v="3"/>
    <n v="19"/>
    <n v="3"/>
    <n v="2"/>
    <n v="80"/>
    <n v="1"/>
    <n v="8"/>
    <n v="3"/>
    <n v="6"/>
    <n v="4"/>
    <n v="0"/>
    <n v="2"/>
  </r>
  <r>
    <s v="Yes"/>
    <s v="Travel_Rarely"/>
    <x v="2"/>
    <s v="Ex-Employees"/>
    <x v="0"/>
    <x v="2"/>
    <x v="645"/>
    <x v="645"/>
    <x v="0"/>
    <x v="6"/>
    <x v="2"/>
    <s v="Yes"/>
    <s v="Y"/>
    <n v="3"/>
    <n v="-2"/>
    <n v="0"/>
    <n v="29"/>
    <n v="1"/>
    <n v="1"/>
    <n v="1"/>
    <n v="0"/>
    <n v="341"/>
    <n v="1"/>
    <x v="3"/>
    <n v="1"/>
    <n v="2"/>
    <n v="48"/>
    <n v="2"/>
    <n v="1"/>
    <n v="3"/>
    <n v="2800"/>
    <n v="23522"/>
    <n v="6"/>
    <n v="19"/>
    <n v="3"/>
    <n v="3"/>
    <n v="80"/>
    <n v="3"/>
    <n v="5"/>
    <n v="3"/>
    <n v="3"/>
    <n v="2"/>
    <n v="0"/>
    <n v="2"/>
  </r>
  <r>
    <s v="No"/>
    <s v="Travel_Rarely"/>
    <x v="1"/>
    <s v="Current Employees"/>
    <x v="0"/>
    <x v="3"/>
    <x v="646"/>
    <x v="646"/>
    <x v="1"/>
    <x v="0"/>
    <x v="1"/>
    <s v="No"/>
    <s v="Y"/>
    <n v="3"/>
    <n v="-2"/>
    <n v="0"/>
    <n v="53"/>
    <n v="0"/>
    <m/>
    <n v="0"/>
    <n v="1"/>
    <n v="868"/>
    <n v="8"/>
    <x v="3"/>
    <n v="1"/>
    <n v="1"/>
    <n v="73"/>
    <n v="3"/>
    <n v="4"/>
    <n v="2"/>
    <n v="11836"/>
    <n v="22789"/>
    <n v="5"/>
    <n v="14"/>
    <n v="3"/>
    <n v="3"/>
    <n v="80"/>
    <n v="1"/>
    <n v="28"/>
    <n v="3"/>
    <n v="2"/>
    <n v="0"/>
    <n v="2"/>
    <n v="2"/>
  </r>
  <r>
    <s v="No"/>
    <s v="Travel_Rarely"/>
    <x v="0"/>
    <s v="Current Employees"/>
    <x v="1"/>
    <x v="4"/>
    <x v="647"/>
    <x v="647"/>
    <x v="1"/>
    <x v="3"/>
    <x v="1"/>
    <s v="No"/>
    <s v="Y"/>
    <n v="2"/>
    <n v="-2"/>
    <n v="0"/>
    <n v="35"/>
    <n v="0"/>
    <m/>
    <n v="0"/>
    <n v="1"/>
    <n v="672"/>
    <n v="25"/>
    <x v="3"/>
    <n v="1"/>
    <n v="4"/>
    <n v="78"/>
    <n v="2"/>
    <n v="3"/>
    <n v="4"/>
    <n v="10903"/>
    <n v="9129"/>
    <n v="3"/>
    <n v="16"/>
    <n v="3"/>
    <n v="1"/>
    <n v="80"/>
    <n v="0"/>
    <n v="16"/>
    <n v="3"/>
    <n v="13"/>
    <n v="10"/>
    <n v="4"/>
    <n v="8"/>
  </r>
  <r>
    <s v="No"/>
    <s v="Travel_Frequently"/>
    <x v="0"/>
    <s v="Current Employees"/>
    <x v="0"/>
    <x v="2"/>
    <x v="648"/>
    <x v="648"/>
    <x v="0"/>
    <x v="6"/>
    <x v="1"/>
    <s v="No"/>
    <s v="Y"/>
    <n v="3"/>
    <n v="-2"/>
    <n v="0"/>
    <n v="37"/>
    <n v="0"/>
    <m/>
    <n v="0"/>
    <n v="1"/>
    <n v="1231"/>
    <n v="21"/>
    <x v="0"/>
    <n v="1"/>
    <n v="3"/>
    <n v="54"/>
    <n v="3"/>
    <n v="1"/>
    <n v="4"/>
    <n v="2973"/>
    <n v="21222"/>
    <n v="5"/>
    <n v="15"/>
    <n v="3"/>
    <n v="2"/>
    <n v="80"/>
    <n v="1"/>
    <n v="10"/>
    <n v="3"/>
    <n v="5"/>
    <n v="4"/>
    <n v="0"/>
    <n v="0"/>
  </r>
  <r>
    <s v="No"/>
    <s v="Travel_Rarely"/>
    <x v="1"/>
    <s v="Current Employees"/>
    <x v="1"/>
    <x v="0"/>
    <x v="649"/>
    <x v="649"/>
    <x v="0"/>
    <x v="7"/>
    <x v="0"/>
    <s v="No"/>
    <s v="Y"/>
    <n v="0"/>
    <n v="-2"/>
    <n v="0"/>
    <n v="53"/>
    <n v="0"/>
    <m/>
    <n v="0"/>
    <n v="1"/>
    <n v="102"/>
    <n v="23"/>
    <x v="2"/>
    <n v="1"/>
    <n v="4"/>
    <n v="72"/>
    <n v="3"/>
    <n v="4"/>
    <n v="1"/>
    <n v="14275"/>
    <n v="20206"/>
    <n v="6"/>
    <n v="18"/>
    <n v="3"/>
    <n v="3"/>
    <n v="80"/>
    <n v="0"/>
    <n v="33"/>
    <n v="3"/>
    <n v="12"/>
    <n v="9"/>
    <n v="3"/>
    <n v="8"/>
  </r>
  <r>
    <s v="No"/>
    <s v="Travel_Frequently"/>
    <x v="0"/>
    <s v="Current Employees"/>
    <x v="1"/>
    <x v="0"/>
    <x v="650"/>
    <x v="650"/>
    <x v="0"/>
    <x v="4"/>
    <x v="1"/>
    <s v="No"/>
    <s v="Y"/>
    <n v="2"/>
    <n v="-2"/>
    <n v="0"/>
    <n v="43"/>
    <n v="0"/>
    <m/>
    <n v="0"/>
    <n v="1"/>
    <n v="422"/>
    <n v="1"/>
    <x v="3"/>
    <n v="1"/>
    <n v="4"/>
    <n v="33"/>
    <n v="3"/>
    <n v="2"/>
    <n v="1"/>
    <n v="5562"/>
    <n v="21782"/>
    <n v="4"/>
    <n v="13"/>
    <n v="3"/>
    <n v="2"/>
    <n v="80"/>
    <n v="1"/>
    <n v="12"/>
    <n v="2"/>
    <n v="5"/>
    <n v="2"/>
    <n v="2"/>
    <n v="2"/>
  </r>
  <r>
    <s v="No"/>
    <s v="Travel_Rarely"/>
    <x v="1"/>
    <s v="Current Employees"/>
    <x v="0"/>
    <x v="3"/>
    <x v="651"/>
    <x v="651"/>
    <x v="0"/>
    <x v="0"/>
    <x v="1"/>
    <s v="Yes"/>
    <s v="Y"/>
    <n v="2"/>
    <n v="-2"/>
    <n v="0"/>
    <n v="47"/>
    <n v="0"/>
    <m/>
    <n v="0"/>
    <n v="1"/>
    <n v="249"/>
    <n v="2"/>
    <x v="0"/>
    <n v="1"/>
    <n v="3"/>
    <n v="35"/>
    <n v="3"/>
    <n v="2"/>
    <n v="2"/>
    <n v="4537"/>
    <n v="17783"/>
    <n v="0"/>
    <n v="22"/>
    <n v="4"/>
    <n v="1"/>
    <n v="80"/>
    <n v="1"/>
    <n v="8"/>
    <n v="3"/>
    <n v="7"/>
    <n v="6"/>
    <n v="7"/>
    <n v="7"/>
  </r>
  <r>
    <s v="No"/>
    <s v="Non-Travel"/>
    <x v="0"/>
    <s v="Current Employees"/>
    <x v="0"/>
    <x v="2"/>
    <x v="652"/>
    <x v="652"/>
    <x v="1"/>
    <x v="0"/>
    <x v="0"/>
    <s v="Yes"/>
    <s v="Y"/>
    <n v="2"/>
    <n v="-2"/>
    <n v="0"/>
    <n v="37"/>
    <n v="0"/>
    <m/>
    <n v="0"/>
    <n v="1"/>
    <n v="1252"/>
    <n v="19"/>
    <x v="0"/>
    <n v="1"/>
    <n v="1"/>
    <n v="32"/>
    <n v="3"/>
    <n v="3"/>
    <n v="3"/>
    <n v="7642"/>
    <n v="4814"/>
    <n v="1"/>
    <n v="13"/>
    <n v="3"/>
    <n v="4"/>
    <n v="80"/>
    <n v="0"/>
    <n v="10"/>
    <n v="3"/>
    <n v="10"/>
    <n v="0"/>
    <n v="0"/>
    <n v="9"/>
  </r>
  <r>
    <s v="No"/>
    <s v="Non-Travel"/>
    <x v="1"/>
    <s v="Current Employees"/>
    <x v="1"/>
    <x v="0"/>
    <x v="653"/>
    <x v="653"/>
    <x v="1"/>
    <x v="5"/>
    <x v="2"/>
    <s v="No"/>
    <s v="Y"/>
    <n v="3"/>
    <n v="-2"/>
    <n v="0"/>
    <n v="50"/>
    <n v="0"/>
    <m/>
    <n v="0"/>
    <n v="1"/>
    <n v="881"/>
    <n v="2"/>
    <x v="2"/>
    <n v="1"/>
    <n v="1"/>
    <n v="98"/>
    <n v="3"/>
    <n v="4"/>
    <n v="1"/>
    <n v="17924"/>
    <n v="4544"/>
    <n v="1"/>
    <n v="11"/>
    <n v="3"/>
    <n v="4"/>
    <n v="80"/>
    <n v="1"/>
    <n v="31"/>
    <n v="3"/>
    <n v="31"/>
    <n v="6"/>
    <n v="14"/>
    <n v="7"/>
  </r>
  <r>
    <s v="No"/>
    <s v="Travel_Rarely"/>
    <x v="0"/>
    <s v="Current Employees"/>
    <x v="2"/>
    <x v="0"/>
    <x v="654"/>
    <x v="654"/>
    <x v="0"/>
    <x v="8"/>
    <x v="1"/>
    <s v="No"/>
    <s v="Y"/>
    <n v="2"/>
    <n v="-2"/>
    <n v="0"/>
    <n v="39"/>
    <n v="0"/>
    <m/>
    <n v="0"/>
    <n v="1"/>
    <n v="1383"/>
    <n v="2"/>
    <x v="3"/>
    <n v="1"/>
    <n v="4"/>
    <n v="42"/>
    <n v="2"/>
    <n v="2"/>
    <n v="1"/>
    <n v="5204"/>
    <n v="7790"/>
    <n v="8"/>
    <n v="11"/>
    <n v="3"/>
    <n v="3"/>
    <n v="80"/>
    <n v="2"/>
    <n v="13"/>
    <n v="3"/>
    <n v="5"/>
    <n v="4"/>
    <n v="0"/>
    <n v="4"/>
  </r>
  <r>
    <s v="No"/>
    <s v="Travel_Rarely"/>
    <x v="2"/>
    <s v="Current Employees"/>
    <x v="2"/>
    <x v="5"/>
    <x v="655"/>
    <x v="655"/>
    <x v="1"/>
    <x v="8"/>
    <x v="2"/>
    <s v="Yes"/>
    <s v="Y"/>
    <n v="4"/>
    <n v="-2"/>
    <n v="0"/>
    <n v="33"/>
    <n v="0"/>
    <m/>
    <n v="0"/>
    <n v="1"/>
    <n v="1075"/>
    <n v="3"/>
    <x v="0"/>
    <n v="1"/>
    <n v="4"/>
    <n v="57"/>
    <n v="3"/>
    <n v="1"/>
    <n v="3"/>
    <n v="2277"/>
    <n v="22650"/>
    <n v="3"/>
    <n v="11"/>
    <n v="3"/>
    <n v="3"/>
    <n v="80"/>
    <n v="1"/>
    <n v="7"/>
    <n v="4"/>
    <n v="4"/>
    <n v="3"/>
    <n v="0"/>
    <n v="3"/>
  </r>
  <r>
    <s v="Yes"/>
    <s v="Travel_Rarely"/>
    <x v="2"/>
    <s v="Ex-Employees"/>
    <x v="1"/>
    <x v="0"/>
    <x v="656"/>
    <x v="656"/>
    <x v="1"/>
    <x v="2"/>
    <x v="0"/>
    <s v="Yes"/>
    <s v="Y"/>
    <n v="2"/>
    <n v="-2"/>
    <n v="0"/>
    <n v="32"/>
    <n v="1"/>
    <n v="1"/>
    <n v="1"/>
    <n v="0"/>
    <n v="374"/>
    <n v="25"/>
    <x v="2"/>
    <n v="1"/>
    <n v="1"/>
    <n v="87"/>
    <n v="3"/>
    <n v="1"/>
    <n v="1"/>
    <n v="2795"/>
    <n v="18016"/>
    <n v="1"/>
    <n v="24"/>
    <n v="4"/>
    <n v="3"/>
    <n v="80"/>
    <n v="0"/>
    <n v="1"/>
    <n v="1"/>
    <n v="1"/>
    <n v="0"/>
    <n v="0"/>
    <n v="1"/>
  </r>
  <r>
    <s v="No"/>
    <s v="Travel_Rarely"/>
    <x v="2"/>
    <s v="Current Employees"/>
    <x v="1"/>
    <x v="2"/>
    <x v="657"/>
    <x v="657"/>
    <x v="0"/>
    <x v="2"/>
    <x v="2"/>
    <s v="No"/>
    <s v="Y"/>
    <n v="5"/>
    <n v="-2"/>
    <n v="0"/>
    <n v="29"/>
    <n v="0"/>
    <m/>
    <n v="0"/>
    <n v="1"/>
    <n v="1086"/>
    <n v="7"/>
    <x v="1"/>
    <n v="1"/>
    <n v="1"/>
    <n v="62"/>
    <n v="2"/>
    <n v="1"/>
    <n v="4"/>
    <n v="2532"/>
    <n v="6054"/>
    <n v="6"/>
    <n v="14"/>
    <n v="3"/>
    <n v="3"/>
    <n v="80"/>
    <n v="3"/>
    <n v="8"/>
    <n v="3"/>
    <n v="4"/>
    <n v="3"/>
    <n v="0"/>
    <n v="3"/>
  </r>
  <r>
    <s v="No"/>
    <s v="Travel_Rarely"/>
    <x v="0"/>
    <s v="Current Employees"/>
    <x v="1"/>
    <x v="0"/>
    <x v="658"/>
    <x v="658"/>
    <x v="1"/>
    <x v="1"/>
    <x v="1"/>
    <s v="Yes"/>
    <s v="Y"/>
    <n v="0"/>
    <n v="-2"/>
    <n v="0"/>
    <n v="44"/>
    <n v="0"/>
    <m/>
    <n v="0"/>
    <n v="1"/>
    <n v="661"/>
    <n v="9"/>
    <x v="0"/>
    <n v="1"/>
    <n v="2"/>
    <n v="61"/>
    <n v="3"/>
    <n v="1"/>
    <n v="1"/>
    <n v="2559"/>
    <n v="7508"/>
    <n v="1"/>
    <n v="13"/>
    <n v="3"/>
    <n v="4"/>
    <n v="80"/>
    <n v="0"/>
    <n v="8"/>
    <n v="3"/>
    <n v="8"/>
    <n v="7"/>
    <n v="7"/>
    <n v="1"/>
  </r>
  <r>
    <s v="No"/>
    <s v="Travel_Rarely"/>
    <x v="2"/>
    <s v="Current Employees"/>
    <x v="0"/>
    <x v="2"/>
    <x v="659"/>
    <x v="659"/>
    <x v="1"/>
    <x v="0"/>
    <x v="0"/>
    <s v="No"/>
    <s v="Y"/>
    <n v="3"/>
    <n v="-2"/>
    <n v="0"/>
    <n v="28"/>
    <n v="0"/>
    <m/>
    <n v="0"/>
    <n v="1"/>
    <n v="821"/>
    <n v="5"/>
    <x v="2"/>
    <n v="1"/>
    <n v="1"/>
    <n v="98"/>
    <n v="3"/>
    <n v="2"/>
    <n v="4"/>
    <n v="4908"/>
    <n v="24252"/>
    <n v="1"/>
    <n v="14"/>
    <n v="3"/>
    <n v="2"/>
    <n v="80"/>
    <n v="0"/>
    <n v="4"/>
    <n v="3"/>
    <n v="4"/>
    <n v="2"/>
    <n v="0"/>
    <n v="2"/>
  </r>
  <r>
    <s v="Yes"/>
    <s v="Travel_Frequently"/>
    <x v="3"/>
    <s v="Ex-Employees"/>
    <x v="1"/>
    <x v="0"/>
    <x v="660"/>
    <x v="660"/>
    <x v="1"/>
    <x v="2"/>
    <x v="2"/>
    <s v="Yes"/>
    <s v="Y"/>
    <n v="3"/>
    <n v="-2"/>
    <n v="0"/>
    <n v="58"/>
    <n v="1"/>
    <n v="1"/>
    <n v="1"/>
    <n v="0"/>
    <n v="781"/>
    <n v="2"/>
    <x v="1"/>
    <n v="1"/>
    <n v="4"/>
    <n v="57"/>
    <n v="2"/>
    <n v="1"/>
    <n v="1"/>
    <n v="2380"/>
    <n v="13384"/>
    <n v="9"/>
    <n v="14"/>
    <n v="3"/>
    <n v="4"/>
    <n v="80"/>
    <n v="1"/>
    <n v="3"/>
    <n v="2"/>
    <n v="1"/>
    <n v="0"/>
    <n v="0"/>
    <n v="0"/>
  </r>
  <r>
    <s v="No"/>
    <s v="Travel_Rarely"/>
    <x v="0"/>
    <s v="Current Employees"/>
    <x v="1"/>
    <x v="0"/>
    <x v="661"/>
    <x v="661"/>
    <x v="0"/>
    <x v="3"/>
    <x v="2"/>
    <s v="No"/>
    <s v="Y"/>
    <n v="2"/>
    <n v="-2"/>
    <n v="0"/>
    <n v="43"/>
    <n v="0"/>
    <m/>
    <n v="0"/>
    <n v="1"/>
    <n v="177"/>
    <n v="8"/>
    <x v="3"/>
    <n v="1"/>
    <n v="1"/>
    <n v="55"/>
    <n v="3"/>
    <n v="2"/>
    <n v="1"/>
    <n v="4765"/>
    <n v="23814"/>
    <n v="4"/>
    <n v="21"/>
    <n v="4"/>
    <n v="3"/>
    <n v="80"/>
    <n v="1"/>
    <n v="4"/>
    <n v="4"/>
    <n v="1"/>
    <n v="0"/>
    <n v="0"/>
    <n v="0"/>
  </r>
  <r>
    <s v="Yes"/>
    <s v="Travel_Rarely"/>
    <x v="4"/>
    <s v="Ex-Employees"/>
    <x v="0"/>
    <x v="2"/>
    <x v="662"/>
    <x v="662"/>
    <x v="0"/>
    <x v="6"/>
    <x v="0"/>
    <s v="No"/>
    <s v="Y"/>
    <n v="3"/>
    <n v="-2"/>
    <n v="0"/>
    <n v="20"/>
    <n v="1"/>
    <n v="1"/>
    <n v="1"/>
    <n v="0"/>
    <n v="500"/>
    <n v="2"/>
    <x v="3"/>
    <n v="1"/>
    <n v="3"/>
    <n v="49"/>
    <n v="2"/>
    <n v="1"/>
    <n v="3"/>
    <n v="2044"/>
    <n v="22052"/>
    <n v="1"/>
    <n v="13"/>
    <n v="3"/>
    <n v="4"/>
    <n v="80"/>
    <n v="0"/>
    <n v="2"/>
    <n v="2"/>
    <n v="2"/>
    <n v="2"/>
    <n v="0"/>
    <n v="2"/>
  </r>
  <r>
    <s v="Yes"/>
    <s v="Travel_Rarely"/>
    <x v="4"/>
    <s v="Ex-Employees"/>
    <x v="1"/>
    <x v="1"/>
    <x v="663"/>
    <x v="663"/>
    <x v="0"/>
    <x v="1"/>
    <x v="0"/>
    <s v="No"/>
    <s v="Y"/>
    <n v="3"/>
    <n v="-2"/>
    <n v="0"/>
    <n v="21"/>
    <n v="1"/>
    <n v="1"/>
    <n v="1"/>
    <n v="0"/>
    <n v="1427"/>
    <n v="18"/>
    <x v="1"/>
    <n v="1"/>
    <n v="4"/>
    <n v="65"/>
    <n v="3"/>
    <n v="1"/>
    <n v="4"/>
    <n v="2693"/>
    <n v="8870"/>
    <n v="1"/>
    <n v="19"/>
    <n v="3"/>
    <n v="1"/>
    <n v="80"/>
    <n v="0"/>
    <n v="1"/>
    <n v="2"/>
    <n v="1"/>
    <n v="0"/>
    <n v="0"/>
    <n v="0"/>
  </r>
  <r>
    <s v="No"/>
    <s v="Travel_Rarely"/>
    <x v="0"/>
    <s v="Current Employees"/>
    <x v="1"/>
    <x v="0"/>
    <x v="664"/>
    <x v="664"/>
    <x v="1"/>
    <x v="4"/>
    <x v="1"/>
    <s v="Yes"/>
    <s v="Y"/>
    <n v="2"/>
    <n v="-2"/>
    <n v="0"/>
    <n v="36"/>
    <n v="0"/>
    <m/>
    <n v="0"/>
    <n v="1"/>
    <n v="1425"/>
    <n v="14"/>
    <x v="1"/>
    <n v="1"/>
    <n v="3"/>
    <n v="68"/>
    <n v="3"/>
    <n v="2"/>
    <n v="1"/>
    <n v="6586"/>
    <n v="4821"/>
    <n v="0"/>
    <n v="17"/>
    <n v="3"/>
    <n v="1"/>
    <n v="80"/>
    <n v="1"/>
    <n v="17"/>
    <n v="2"/>
    <n v="16"/>
    <n v="8"/>
    <n v="4"/>
    <n v="11"/>
  </r>
  <r>
    <s v="No"/>
    <s v="Travel_Rarely"/>
    <x v="1"/>
    <s v="Current Employees"/>
    <x v="0"/>
    <x v="0"/>
    <x v="665"/>
    <x v="665"/>
    <x v="0"/>
    <x v="6"/>
    <x v="0"/>
    <s v="Yes"/>
    <s v="Y"/>
    <n v="3"/>
    <n v="-2"/>
    <n v="0"/>
    <n v="47"/>
    <n v="0"/>
    <m/>
    <n v="0"/>
    <n v="1"/>
    <n v="1454"/>
    <n v="2"/>
    <x v="2"/>
    <n v="1"/>
    <n v="4"/>
    <n v="65"/>
    <n v="2"/>
    <n v="1"/>
    <n v="1"/>
    <n v="3294"/>
    <n v="13137"/>
    <n v="1"/>
    <n v="18"/>
    <n v="3"/>
    <n v="1"/>
    <n v="80"/>
    <n v="0"/>
    <n v="3"/>
    <n v="2"/>
    <n v="3"/>
    <n v="2"/>
    <n v="1"/>
    <n v="2"/>
  </r>
  <r>
    <s v="Yes"/>
    <s v="Travel_Rarely"/>
    <x v="4"/>
    <s v="Ex-Employees"/>
    <x v="1"/>
    <x v="0"/>
    <x v="666"/>
    <x v="666"/>
    <x v="0"/>
    <x v="3"/>
    <x v="1"/>
    <s v="Yes"/>
    <s v="Y"/>
    <n v="3"/>
    <n v="-2"/>
    <n v="0"/>
    <n v="22"/>
    <n v="1"/>
    <n v="1"/>
    <n v="1"/>
    <n v="0"/>
    <n v="617"/>
    <n v="3"/>
    <x v="1"/>
    <n v="1"/>
    <n v="2"/>
    <n v="34"/>
    <n v="3"/>
    <n v="2"/>
    <n v="1"/>
    <n v="4171"/>
    <n v="10022"/>
    <n v="0"/>
    <n v="19"/>
    <n v="3"/>
    <n v="1"/>
    <n v="80"/>
    <n v="1"/>
    <n v="4"/>
    <n v="4"/>
    <n v="3"/>
    <n v="2"/>
    <n v="0"/>
    <n v="2"/>
  </r>
  <r>
    <s v="Yes"/>
    <s v="Travel_Rarely"/>
    <x v="0"/>
    <s v="Ex-Employees"/>
    <x v="1"/>
    <x v="0"/>
    <x v="667"/>
    <x v="667"/>
    <x v="0"/>
    <x v="2"/>
    <x v="2"/>
    <s v="Yes"/>
    <s v="Y"/>
    <n v="1"/>
    <n v="-2"/>
    <n v="0"/>
    <n v="41"/>
    <n v="1"/>
    <n v="1"/>
    <n v="1"/>
    <n v="0"/>
    <n v="1085"/>
    <n v="2"/>
    <x v="2"/>
    <n v="1"/>
    <n v="2"/>
    <n v="57"/>
    <n v="1"/>
    <n v="1"/>
    <n v="1"/>
    <n v="2778"/>
    <n v="17725"/>
    <n v="4"/>
    <n v="13"/>
    <n v="3"/>
    <n v="3"/>
    <n v="80"/>
    <n v="1"/>
    <n v="10"/>
    <n v="2"/>
    <n v="7"/>
    <n v="7"/>
    <n v="1"/>
    <n v="0"/>
  </r>
  <r>
    <s v="No"/>
    <s v="Travel_Rarely"/>
    <x v="2"/>
    <s v="Current Employees"/>
    <x v="1"/>
    <x v="2"/>
    <x v="668"/>
    <x v="668"/>
    <x v="0"/>
    <x v="1"/>
    <x v="2"/>
    <s v="No"/>
    <s v="Y"/>
    <n v="2"/>
    <n v="-2"/>
    <n v="0"/>
    <n v="28"/>
    <n v="0"/>
    <m/>
    <n v="0"/>
    <n v="1"/>
    <n v="995"/>
    <n v="9"/>
    <x v="3"/>
    <n v="1"/>
    <n v="3"/>
    <n v="77"/>
    <n v="3"/>
    <n v="1"/>
    <n v="3"/>
    <n v="2377"/>
    <n v="9834"/>
    <n v="5"/>
    <n v="18"/>
    <n v="3"/>
    <n v="2"/>
    <n v="80"/>
    <n v="1"/>
    <n v="6"/>
    <n v="3"/>
    <n v="2"/>
    <n v="2"/>
    <n v="2"/>
    <n v="2"/>
  </r>
  <r>
    <s v="Yes"/>
    <s v="Travel_Rarely"/>
    <x v="0"/>
    <s v="Ex-Employees"/>
    <x v="1"/>
    <x v="2"/>
    <x v="669"/>
    <x v="669"/>
    <x v="1"/>
    <x v="2"/>
    <x v="1"/>
    <s v="Yes"/>
    <s v="Y"/>
    <n v="2"/>
    <n v="-2"/>
    <n v="0"/>
    <n v="39"/>
    <n v="1"/>
    <n v="1"/>
    <n v="1"/>
    <n v="0"/>
    <n v="1122"/>
    <n v="6"/>
    <x v="3"/>
    <n v="1"/>
    <n v="4"/>
    <n v="70"/>
    <n v="3"/>
    <n v="1"/>
    <n v="3"/>
    <n v="2404"/>
    <n v="4303"/>
    <n v="7"/>
    <n v="21"/>
    <n v="4"/>
    <n v="4"/>
    <n v="80"/>
    <n v="0"/>
    <n v="8"/>
    <n v="1"/>
    <n v="2"/>
    <n v="2"/>
    <n v="2"/>
    <n v="2"/>
  </r>
  <r>
    <s v="No"/>
    <s v="Travel_Rarely"/>
    <x v="2"/>
    <s v="Current Employees"/>
    <x v="1"/>
    <x v="0"/>
    <x v="670"/>
    <x v="670"/>
    <x v="0"/>
    <x v="1"/>
    <x v="0"/>
    <s v="No"/>
    <s v="Y"/>
    <n v="2"/>
    <n v="-2"/>
    <n v="0"/>
    <n v="27"/>
    <n v="0"/>
    <m/>
    <n v="0"/>
    <n v="1"/>
    <n v="618"/>
    <n v="4"/>
    <x v="3"/>
    <n v="1"/>
    <n v="2"/>
    <n v="76"/>
    <n v="3"/>
    <n v="1"/>
    <n v="1"/>
    <n v="2318"/>
    <n v="17808"/>
    <n v="1"/>
    <n v="19"/>
    <n v="3"/>
    <n v="3"/>
    <n v="80"/>
    <n v="0"/>
    <n v="1"/>
    <n v="3"/>
    <n v="1"/>
    <n v="1"/>
    <n v="0"/>
    <n v="0"/>
  </r>
  <r>
    <s v="No"/>
    <s v="Travel_Rarely"/>
    <x v="2"/>
    <s v="Current Employees"/>
    <x v="1"/>
    <x v="0"/>
    <x v="671"/>
    <x v="671"/>
    <x v="1"/>
    <x v="2"/>
    <x v="2"/>
    <s v="No"/>
    <s v="Y"/>
    <n v="3"/>
    <n v="-2"/>
    <n v="0"/>
    <n v="34"/>
    <n v="0"/>
    <m/>
    <n v="0"/>
    <n v="1"/>
    <n v="546"/>
    <n v="10"/>
    <x v="3"/>
    <n v="1"/>
    <n v="2"/>
    <n v="83"/>
    <n v="3"/>
    <n v="1"/>
    <n v="1"/>
    <n v="2008"/>
    <n v="6896"/>
    <n v="1"/>
    <n v="14"/>
    <n v="3"/>
    <n v="2"/>
    <n v="80"/>
    <n v="2"/>
    <n v="1"/>
    <n v="3"/>
    <n v="1"/>
    <n v="0"/>
    <n v="1"/>
    <n v="0"/>
  </r>
  <r>
    <s v="No"/>
    <s v="Travel_Rarely"/>
    <x v="0"/>
    <s v="Current Employees"/>
    <x v="0"/>
    <x v="2"/>
    <x v="672"/>
    <x v="672"/>
    <x v="0"/>
    <x v="0"/>
    <x v="0"/>
    <s v="No"/>
    <s v="Y"/>
    <n v="6"/>
    <n v="-2"/>
    <n v="0"/>
    <n v="42"/>
    <n v="0"/>
    <m/>
    <n v="0"/>
    <n v="1"/>
    <n v="462"/>
    <n v="14"/>
    <x v="0"/>
    <n v="1"/>
    <n v="3"/>
    <n v="68"/>
    <n v="2"/>
    <n v="2"/>
    <n v="3"/>
    <n v="6244"/>
    <n v="7824"/>
    <n v="7"/>
    <n v="17"/>
    <n v="3"/>
    <n v="1"/>
    <n v="80"/>
    <n v="0"/>
    <n v="10"/>
    <n v="3"/>
    <n v="5"/>
    <n v="4"/>
    <n v="0"/>
    <n v="3"/>
  </r>
  <r>
    <s v="No"/>
    <s v="Travel_Rarely"/>
    <x v="2"/>
    <s v="Current Employees"/>
    <x v="1"/>
    <x v="1"/>
    <x v="673"/>
    <x v="673"/>
    <x v="1"/>
    <x v="1"/>
    <x v="0"/>
    <s v="Yes"/>
    <s v="Y"/>
    <n v="1"/>
    <n v="-2"/>
    <n v="0"/>
    <n v="33"/>
    <n v="0"/>
    <m/>
    <n v="0"/>
    <n v="1"/>
    <n v="1198"/>
    <n v="1"/>
    <x v="2"/>
    <n v="1"/>
    <n v="3"/>
    <n v="100"/>
    <n v="2"/>
    <n v="1"/>
    <n v="3"/>
    <n v="2799"/>
    <n v="3339"/>
    <n v="3"/>
    <n v="11"/>
    <n v="3"/>
    <n v="2"/>
    <n v="80"/>
    <n v="0"/>
    <n v="6"/>
    <n v="3"/>
    <n v="3"/>
    <n v="2"/>
    <n v="0"/>
    <n v="2"/>
  </r>
  <r>
    <s v="No"/>
    <s v="Travel_Rarely"/>
    <x v="3"/>
    <s v="Current Employees"/>
    <x v="1"/>
    <x v="4"/>
    <x v="674"/>
    <x v="674"/>
    <x v="0"/>
    <x v="4"/>
    <x v="2"/>
    <s v="Yes"/>
    <s v="Y"/>
    <n v="3"/>
    <n v="-2"/>
    <n v="0"/>
    <n v="58"/>
    <n v="0"/>
    <m/>
    <n v="0"/>
    <n v="1"/>
    <n v="1272"/>
    <n v="5"/>
    <x v="3"/>
    <n v="1"/>
    <n v="4"/>
    <n v="37"/>
    <n v="2"/>
    <n v="3"/>
    <n v="4"/>
    <n v="10552"/>
    <n v="9255"/>
    <n v="2"/>
    <n v="13"/>
    <n v="3"/>
    <n v="4"/>
    <n v="80"/>
    <n v="1"/>
    <n v="24"/>
    <n v="3"/>
    <n v="6"/>
    <n v="0"/>
    <n v="0"/>
    <n v="4"/>
  </r>
  <r>
    <s v="No"/>
    <s v="Travel_Rarely"/>
    <x v="2"/>
    <s v="Current Employees"/>
    <x v="0"/>
    <x v="0"/>
    <x v="675"/>
    <x v="675"/>
    <x v="1"/>
    <x v="6"/>
    <x v="1"/>
    <s v="No"/>
    <s v="Y"/>
    <n v="2"/>
    <n v="-2"/>
    <n v="0"/>
    <n v="31"/>
    <n v="0"/>
    <m/>
    <n v="0"/>
    <n v="1"/>
    <n v="154"/>
    <n v="7"/>
    <x v="2"/>
    <n v="1"/>
    <n v="2"/>
    <n v="41"/>
    <n v="2"/>
    <n v="1"/>
    <n v="1"/>
    <n v="2329"/>
    <n v="11737"/>
    <n v="3"/>
    <n v="15"/>
    <n v="3"/>
    <n v="2"/>
    <n v="80"/>
    <n v="0"/>
    <n v="13"/>
    <n v="4"/>
    <n v="7"/>
    <n v="7"/>
    <n v="5"/>
    <n v="2"/>
  </r>
  <r>
    <s v="No"/>
    <s v="Travel_Rarely"/>
    <x v="0"/>
    <s v="Current Employees"/>
    <x v="1"/>
    <x v="0"/>
    <x v="676"/>
    <x v="676"/>
    <x v="0"/>
    <x v="4"/>
    <x v="1"/>
    <s v="Yes"/>
    <s v="Y"/>
    <n v="2"/>
    <n v="-2"/>
    <n v="0"/>
    <n v="35"/>
    <n v="0"/>
    <m/>
    <n v="0"/>
    <n v="1"/>
    <n v="1137"/>
    <n v="21"/>
    <x v="1"/>
    <n v="1"/>
    <n v="4"/>
    <n v="51"/>
    <n v="3"/>
    <n v="2"/>
    <n v="1"/>
    <n v="4014"/>
    <n v="19170"/>
    <n v="1"/>
    <n v="25"/>
    <n v="4"/>
    <n v="4"/>
    <n v="80"/>
    <n v="1"/>
    <n v="10"/>
    <n v="1"/>
    <n v="10"/>
    <n v="6"/>
    <n v="0"/>
    <n v="7"/>
  </r>
  <r>
    <s v="No"/>
    <s v="Travel_Rarely"/>
    <x v="1"/>
    <s v="Current Employees"/>
    <x v="1"/>
    <x v="1"/>
    <x v="677"/>
    <x v="677"/>
    <x v="0"/>
    <x v="2"/>
    <x v="1"/>
    <s v="No"/>
    <s v="Y"/>
    <n v="3"/>
    <n v="-2"/>
    <n v="0"/>
    <n v="49"/>
    <n v="0"/>
    <m/>
    <n v="0"/>
    <n v="1"/>
    <n v="527"/>
    <n v="8"/>
    <x v="0"/>
    <n v="1"/>
    <n v="1"/>
    <n v="51"/>
    <n v="3"/>
    <n v="3"/>
    <n v="3"/>
    <n v="7403"/>
    <n v="22477"/>
    <n v="4"/>
    <n v="11"/>
    <n v="3"/>
    <n v="3"/>
    <n v="80"/>
    <n v="1"/>
    <n v="29"/>
    <n v="2"/>
    <n v="26"/>
    <n v="9"/>
    <n v="1"/>
    <n v="7"/>
  </r>
  <r>
    <s v="No"/>
    <s v="Travel_Rarely"/>
    <x v="1"/>
    <s v="Current Employees"/>
    <x v="1"/>
    <x v="2"/>
    <x v="678"/>
    <x v="678"/>
    <x v="1"/>
    <x v="1"/>
    <x v="1"/>
    <s v="No"/>
    <s v="Y"/>
    <n v="2"/>
    <n v="-2"/>
    <n v="0"/>
    <n v="48"/>
    <n v="0"/>
    <m/>
    <n v="0"/>
    <n v="1"/>
    <n v="1469"/>
    <n v="20"/>
    <x v="2"/>
    <n v="1"/>
    <n v="4"/>
    <n v="51"/>
    <n v="3"/>
    <n v="1"/>
    <n v="3"/>
    <n v="2259"/>
    <n v="5543"/>
    <n v="4"/>
    <n v="17"/>
    <n v="3"/>
    <n v="1"/>
    <n v="80"/>
    <n v="2"/>
    <n v="13"/>
    <n v="2"/>
    <n v="0"/>
    <n v="0"/>
    <n v="0"/>
    <n v="0"/>
  </r>
  <r>
    <s v="No"/>
    <s v="Non-Travel"/>
    <x v="2"/>
    <s v="Current Employees"/>
    <x v="0"/>
    <x v="3"/>
    <x v="679"/>
    <x v="679"/>
    <x v="0"/>
    <x v="0"/>
    <x v="1"/>
    <s v="No"/>
    <s v="Y"/>
    <n v="2"/>
    <n v="-2"/>
    <n v="0"/>
    <n v="31"/>
    <n v="0"/>
    <m/>
    <n v="0"/>
    <n v="1"/>
    <n v="1188"/>
    <n v="20"/>
    <x v="0"/>
    <n v="1"/>
    <n v="4"/>
    <n v="45"/>
    <n v="3"/>
    <n v="2"/>
    <n v="2"/>
    <n v="6932"/>
    <n v="24406"/>
    <n v="1"/>
    <n v="13"/>
    <n v="3"/>
    <n v="4"/>
    <n v="80"/>
    <n v="1"/>
    <n v="9"/>
    <n v="2"/>
    <n v="9"/>
    <n v="8"/>
    <n v="0"/>
    <n v="0"/>
  </r>
  <r>
    <s v="No"/>
    <s v="Travel_Rarely"/>
    <x v="0"/>
    <s v="Current Employees"/>
    <x v="1"/>
    <x v="1"/>
    <x v="680"/>
    <x v="680"/>
    <x v="1"/>
    <x v="1"/>
    <x v="0"/>
    <s v="No"/>
    <s v="Y"/>
    <n v="6"/>
    <n v="-2"/>
    <n v="0"/>
    <n v="36"/>
    <n v="0"/>
    <m/>
    <n v="0"/>
    <n v="1"/>
    <n v="188"/>
    <n v="7"/>
    <x v="2"/>
    <n v="1"/>
    <n v="2"/>
    <n v="65"/>
    <n v="3"/>
    <n v="1"/>
    <n v="4"/>
    <n v="4678"/>
    <n v="23293"/>
    <n v="2"/>
    <n v="18"/>
    <n v="3"/>
    <n v="3"/>
    <n v="80"/>
    <n v="0"/>
    <n v="8"/>
    <n v="3"/>
    <n v="6"/>
    <n v="2"/>
    <n v="0"/>
    <n v="1"/>
  </r>
  <r>
    <s v="No"/>
    <s v="Travel_Rarely"/>
    <x v="0"/>
    <s v="Current Employees"/>
    <x v="1"/>
    <x v="4"/>
    <x v="681"/>
    <x v="681"/>
    <x v="0"/>
    <x v="7"/>
    <x v="1"/>
    <s v="No"/>
    <s v="Y"/>
    <n v="3"/>
    <n v="-2"/>
    <n v="0"/>
    <n v="38"/>
    <n v="0"/>
    <m/>
    <n v="0"/>
    <n v="1"/>
    <n v="1333"/>
    <n v="1"/>
    <x v="3"/>
    <n v="1"/>
    <n v="4"/>
    <n v="80"/>
    <n v="3"/>
    <n v="3"/>
    <n v="4"/>
    <n v="13582"/>
    <n v="16292"/>
    <n v="1"/>
    <n v="13"/>
    <n v="3"/>
    <n v="2"/>
    <n v="80"/>
    <n v="1"/>
    <n v="15"/>
    <n v="3"/>
    <n v="15"/>
    <n v="12"/>
    <n v="5"/>
    <n v="11"/>
  </r>
  <r>
    <s v="No"/>
    <s v="Non-Travel"/>
    <x v="2"/>
    <s v="Current Employees"/>
    <x v="1"/>
    <x v="0"/>
    <x v="682"/>
    <x v="682"/>
    <x v="0"/>
    <x v="2"/>
    <x v="1"/>
    <s v="No"/>
    <s v="Y"/>
    <n v="3"/>
    <n v="-2"/>
    <n v="0"/>
    <n v="32"/>
    <n v="0"/>
    <m/>
    <n v="0"/>
    <n v="1"/>
    <n v="1184"/>
    <n v="1"/>
    <x v="3"/>
    <n v="1"/>
    <n v="3"/>
    <n v="70"/>
    <n v="2"/>
    <n v="1"/>
    <n v="1"/>
    <n v="2332"/>
    <n v="3974"/>
    <n v="6"/>
    <n v="20"/>
    <n v="4"/>
    <n v="3"/>
    <n v="80"/>
    <n v="0"/>
    <n v="5"/>
    <n v="3"/>
    <n v="3"/>
    <n v="0"/>
    <n v="0"/>
    <n v="2"/>
  </r>
  <r>
    <s v="Yes"/>
    <s v="Travel_Rarely"/>
    <x v="2"/>
    <s v="Ex-Employees"/>
    <x v="0"/>
    <x v="3"/>
    <x v="683"/>
    <x v="683"/>
    <x v="1"/>
    <x v="6"/>
    <x v="1"/>
    <s v="Yes"/>
    <s v="Y"/>
    <n v="2"/>
    <n v="-2"/>
    <n v="0"/>
    <n v="25"/>
    <n v="1"/>
    <n v="1"/>
    <n v="1"/>
    <n v="0"/>
    <n v="867"/>
    <n v="19"/>
    <x v="0"/>
    <n v="1"/>
    <n v="3"/>
    <n v="36"/>
    <n v="2"/>
    <n v="1"/>
    <n v="2"/>
    <n v="2413"/>
    <n v="18798"/>
    <n v="1"/>
    <n v="18"/>
    <n v="3"/>
    <n v="3"/>
    <n v="80"/>
    <n v="3"/>
    <n v="1"/>
    <n v="3"/>
    <n v="1"/>
    <n v="0"/>
    <n v="0"/>
    <n v="0"/>
  </r>
  <r>
    <s v="No"/>
    <s v="Travel_Rarely"/>
    <x v="0"/>
    <s v="Current Employees"/>
    <x v="0"/>
    <x v="3"/>
    <x v="684"/>
    <x v="684"/>
    <x v="1"/>
    <x v="0"/>
    <x v="2"/>
    <s v="No"/>
    <s v="Y"/>
    <n v="2"/>
    <n v="-2"/>
    <n v="0"/>
    <n v="40"/>
    <n v="0"/>
    <m/>
    <n v="0"/>
    <n v="1"/>
    <n v="658"/>
    <n v="10"/>
    <x v="2"/>
    <n v="1"/>
    <n v="1"/>
    <n v="67"/>
    <n v="2"/>
    <n v="3"/>
    <n v="2"/>
    <n v="9705"/>
    <n v="20652"/>
    <n v="2"/>
    <n v="12"/>
    <n v="3"/>
    <n v="2"/>
    <n v="80"/>
    <n v="1"/>
    <n v="11"/>
    <n v="2"/>
    <n v="1"/>
    <n v="0"/>
    <n v="0"/>
    <n v="0"/>
  </r>
  <r>
    <s v="No"/>
    <s v="Travel_Frequently"/>
    <x v="2"/>
    <s v="Current Employees"/>
    <x v="0"/>
    <x v="2"/>
    <x v="685"/>
    <x v="685"/>
    <x v="1"/>
    <x v="0"/>
    <x v="0"/>
    <s v="No"/>
    <s v="Y"/>
    <n v="2"/>
    <n v="-2"/>
    <n v="0"/>
    <n v="26"/>
    <n v="0"/>
    <m/>
    <n v="0"/>
    <n v="1"/>
    <n v="1283"/>
    <n v="1"/>
    <x v="3"/>
    <n v="1"/>
    <n v="3"/>
    <n v="52"/>
    <n v="2"/>
    <n v="2"/>
    <n v="3"/>
    <n v="4294"/>
    <n v="11148"/>
    <n v="1"/>
    <n v="12"/>
    <n v="3"/>
    <n v="2"/>
    <n v="80"/>
    <n v="0"/>
    <n v="7"/>
    <n v="3"/>
    <n v="7"/>
    <n v="7"/>
    <n v="0"/>
    <n v="7"/>
  </r>
  <r>
    <s v="No"/>
    <s v="Travel_Rarely"/>
    <x v="0"/>
    <s v="Current Employees"/>
    <x v="1"/>
    <x v="2"/>
    <x v="686"/>
    <x v="686"/>
    <x v="1"/>
    <x v="2"/>
    <x v="0"/>
    <s v="Yes"/>
    <s v="Y"/>
    <n v="3"/>
    <n v="-2"/>
    <n v="0"/>
    <n v="41"/>
    <n v="0"/>
    <m/>
    <n v="0"/>
    <n v="1"/>
    <n v="263"/>
    <n v="6"/>
    <x v="3"/>
    <n v="1"/>
    <n v="4"/>
    <n v="59"/>
    <n v="3"/>
    <n v="1"/>
    <n v="3"/>
    <n v="4721"/>
    <n v="3119"/>
    <n v="2"/>
    <n v="13"/>
    <n v="3"/>
    <n v="3"/>
    <n v="80"/>
    <n v="0"/>
    <n v="20"/>
    <n v="3"/>
    <n v="18"/>
    <n v="13"/>
    <n v="2"/>
    <n v="17"/>
  </r>
  <r>
    <s v="No"/>
    <s v="Travel_Rarely"/>
    <x v="0"/>
    <s v="Current Employees"/>
    <x v="1"/>
    <x v="2"/>
    <x v="687"/>
    <x v="687"/>
    <x v="1"/>
    <x v="2"/>
    <x v="0"/>
    <s v="No"/>
    <s v="Y"/>
    <n v="6"/>
    <n v="-2"/>
    <n v="0"/>
    <n v="36"/>
    <n v="0"/>
    <m/>
    <n v="0"/>
    <n v="1"/>
    <n v="938"/>
    <n v="2"/>
    <x v="2"/>
    <n v="1"/>
    <n v="3"/>
    <n v="79"/>
    <n v="3"/>
    <n v="1"/>
    <n v="3"/>
    <n v="2519"/>
    <n v="12287"/>
    <n v="4"/>
    <n v="21"/>
    <n v="4"/>
    <n v="3"/>
    <n v="80"/>
    <n v="0"/>
    <n v="16"/>
    <n v="3"/>
    <n v="11"/>
    <n v="8"/>
    <n v="3"/>
    <n v="9"/>
  </r>
  <r>
    <s v="Yes"/>
    <s v="Travel_Rarely"/>
    <x v="4"/>
    <s v="Ex-Employees"/>
    <x v="0"/>
    <x v="1"/>
    <x v="688"/>
    <x v="688"/>
    <x v="1"/>
    <x v="6"/>
    <x v="0"/>
    <s v="Yes"/>
    <s v="Y"/>
    <n v="3"/>
    <n v="-2"/>
    <n v="0"/>
    <n v="19"/>
    <n v="1"/>
    <n v="1"/>
    <n v="1"/>
    <n v="0"/>
    <n v="419"/>
    <n v="21"/>
    <x v="3"/>
    <n v="1"/>
    <n v="4"/>
    <n v="37"/>
    <n v="2"/>
    <n v="1"/>
    <n v="3"/>
    <n v="2121"/>
    <n v="9947"/>
    <n v="1"/>
    <n v="13"/>
    <n v="3"/>
    <n v="2"/>
    <n v="80"/>
    <n v="0"/>
    <n v="1"/>
    <n v="4"/>
    <n v="1"/>
    <n v="0"/>
    <n v="0"/>
    <n v="0"/>
  </r>
  <r>
    <s v="Yes"/>
    <s v="Travel_Rarely"/>
    <x v="4"/>
    <s v="Ex-Employees"/>
    <x v="1"/>
    <x v="4"/>
    <x v="689"/>
    <x v="689"/>
    <x v="1"/>
    <x v="2"/>
    <x v="0"/>
    <s v="No"/>
    <s v="Y"/>
    <n v="2"/>
    <n v="-2"/>
    <n v="0"/>
    <n v="20"/>
    <n v="1"/>
    <n v="1"/>
    <n v="1"/>
    <n v="0"/>
    <n v="129"/>
    <n v="4"/>
    <x v="3"/>
    <n v="1"/>
    <n v="4"/>
    <n v="84"/>
    <n v="3"/>
    <n v="1"/>
    <n v="4"/>
    <n v="2973"/>
    <n v="13008"/>
    <n v="1"/>
    <n v="19"/>
    <n v="3"/>
    <n v="2"/>
    <n v="80"/>
    <n v="0"/>
    <n v="1"/>
    <n v="3"/>
    <n v="1"/>
    <n v="0"/>
    <n v="0"/>
    <n v="0"/>
  </r>
  <r>
    <s v="No"/>
    <s v="Travel_Rarely"/>
    <x v="2"/>
    <s v="Current Employees"/>
    <x v="1"/>
    <x v="2"/>
    <x v="690"/>
    <x v="690"/>
    <x v="0"/>
    <x v="4"/>
    <x v="1"/>
    <s v="Yes"/>
    <s v="Y"/>
    <n v="2"/>
    <n v="-2"/>
    <n v="0"/>
    <n v="31"/>
    <n v="0"/>
    <m/>
    <n v="0"/>
    <n v="1"/>
    <n v="616"/>
    <n v="12"/>
    <x v="3"/>
    <n v="1"/>
    <n v="4"/>
    <n v="41"/>
    <n v="3"/>
    <n v="2"/>
    <n v="4"/>
    <n v="5855"/>
    <n v="17369"/>
    <n v="0"/>
    <n v="11"/>
    <n v="3"/>
    <n v="3"/>
    <n v="80"/>
    <n v="2"/>
    <n v="10"/>
    <n v="1"/>
    <n v="9"/>
    <n v="7"/>
    <n v="8"/>
    <n v="5"/>
  </r>
  <r>
    <s v="No"/>
    <s v="Travel_Frequently"/>
    <x v="0"/>
    <s v="Current Employees"/>
    <x v="1"/>
    <x v="2"/>
    <x v="691"/>
    <x v="691"/>
    <x v="1"/>
    <x v="1"/>
    <x v="2"/>
    <s v="Yes"/>
    <s v="Y"/>
    <n v="2"/>
    <n v="-2"/>
    <n v="0"/>
    <n v="40"/>
    <n v="0"/>
    <m/>
    <n v="0"/>
    <n v="1"/>
    <n v="1469"/>
    <n v="9"/>
    <x v="2"/>
    <n v="1"/>
    <n v="4"/>
    <n v="35"/>
    <n v="3"/>
    <n v="1"/>
    <n v="3"/>
    <n v="3617"/>
    <n v="25063"/>
    <n v="8"/>
    <n v="14"/>
    <n v="3"/>
    <n v="4"/>
    <n v="80"/>
    <n v="1"/>
    <n v="3"/>
    <n v="3"/>
    <n v="1"/>
    <n v="1"/>
    <n v="0"/>
    <n v="0"/>
  </r>
  <r>
    <s v="No"/>
    <s v="Travel_Rarely"/>
    <x v="2"/>
    <s v="Current Employees"/>
    <x v="1"/>
    <x v="2"/>
    <x v="692"/>
    <x v="692"/>
    <x v="0"/>
    <x v="3"/>
    <x v="1"/>
    <s v="No"/>
    <s v="Y"/>
    <n v="2"/>
    <n v="-2"/>
    <n v="0"/>
    <n v="32"/>
    <n v="0"/>
    <m/>
    <n v="0"/>
    <n v="1"/>
    <n v="498"/>
    <n v="3"/>
    <x v="2"/>
    <n v="1"/>
    <n v="3"/>
    <n v="93"/>
    <n v="3"/>
    <n v="2"/>
    <n v="3"/>
    <n v="6725"/>
    <n v="13554"/>
    <n v="1"/>
    <n v="12"/>
    <n v="3"/>
    <n v="3"/>
    <n v="80"/>
    <n v="1"/>
    <n v="8"/>
    <n v="4"/>
    <n v="8"/>
    <n v="7"/>
    <n v="6"/>
    <n v="3"/>
  </r>
  <r>
    <s v="Yes"/>
    <s v="Travel_Rarely"/>
    <x v="0"/>
    <s v="Ex-Employees"/>
    <x v="0"/>
    <x v="0"/>
    <x v="693"/>
    <x v="693"/>
    <x v="1"/>
    <x v="0"/>
    <x v="1"/>
    <s v="Yes"/>
    <s v="Y"/>
    <n v="6"/>
    <n v="-2"/>
    <n v="0"/>
    <n v="36"/>
    <n v="1"/>
    <n v="1"/>
    <n v="1"/>
    <n v="0"/>
    <n v="530"/>
    <n v="3"/>
    <x v="1"/>
    <n v="1"/>
    <n v="3"/>
    <n v="51"/>
    <n v="2"/>
    <n v="3"/>
    <n v="1"/>
    <n v="10325"/>
    <n v="5518"/>
    <n v="1"/>
    <n v="11"/>
    <n v="3"/>
    <n v="1"/>
    <n v="80"/>
    <n v="1"/>
    <n v="16"/>
    <n v="3"/>
    <n v="16"/>
    <n v="7"/>
    <n v="3"/>
    <n v="7"/>
  </r>
  <r>
    <s v="No"/>
    <s v="Travel_Rarely"/>
    <x v="2"/>
    <s v="Current Employees"/>
    <x v="1"/>
    <x v="0"/>
    <x v="694"/>
    <x v="694"/>
    <x v="0"/>
    <x v="4"/>
    <x v="0"/>
    <s v="No"/>
    <s v="Y"/>
    <n v="3"/>
    <n v="-2"/>
    <n v="0"/>
    <n v="33"/>
    <n v="0"/>
    <m/>
    <n v="0"/>
    <n v="1"/>
    <n v="1069"/>
    <n v="1"/>
    <x v="3"/>
    <n v="1"/>
    <n v="2"/>
    <n v="42"/>
    <n v="2"/>
    <n v="2"/>
    <n v="1"/>
    <n v="6949"/>
    <n v="12291"/>
    <n v="0"/>
    <n v="14"/>
    <n v="3"/>
    <n v="1"/>
    <n v="80"/>
    <n v="0"/>
    <n v="6"/>
    <n v="3"/>
    <n v="5"/>
    <n v="0"/>
    <n v="1"/>
    <n v="4"/>
  </r>
  <r>
    <s v="Yes"/>
    <s v="Travel_Rarely"/>
    <x v="0"/>
    <s v="Ex-Employees"/>
    <x v="0"/>
    <x v="0"/>
    <x v="695"/>
    <x v="695"/>
    <x v="1"/>
    <x v="0"/>
    <x v="1"/>
    <s v="No"/>
    <s v="Y"/>
    <n v="2"/>
    <n v="-2"/>
    <n v="0"/>
    <n v="37"/>
    <n v="1"/>
    <n v="1"/>
    <n v="1"/>
    <n v="0"/>
    <n v="625"/>
    <n v="1"/>
    <x v="2"/>
    <n v="1"/>
    <n v="1"/>
    <n v="46"/>
    <n v="2"/>
    <n v="3"/>
    <n v="1"/>
    <n v="10609"/>
    <n v="14922"/>
    <n v="5"/>
    <n v="11"/>
    <n v="3"/>
    <n v="3"/>
    <n v="80"/>
    <n v="0"/>
    <n v="17"/>
    <n v="1"/>
    <n v="14"/>
    <n v="1"/>
    <n v="11"/>
    <n v="7"/>
  </r>
  <r>
    <s v="No"/>
    <s v="Non-Travel"/>
    <x v="1"/>
    <s v="Current Employees"/>
    <x v="1"/>
    <x v="0"/>
    <x v="696"/>
    <x v="696"/>
    <x v="1"/>
    <x v="2"/>
    <x v="1"/>
    <s v="No"/>
    <s v="Y"/>
    <n v="5"/>
    <n v="-2"/>
    <n v="0"/>
    <n v="45"/>
    <n v="0"/>
    <m/>
    <n v="0"/>
    <n v="1"/>
    <n v="805"/>
    <n v="4"/>
    <x v="0"/>
    <n v="1"/>
    <n v="3"/>
    <n v="57"/>
    <n v="3"/>
    <n v="2"/>
    <n v="1"/>
    <n v="4447"/>
    <n v="23163"/>
    <n v="1"/>
    <n v="12"/>
    <n v="3"/>
    <n v="2"/>
    <n v="80"/>
    <n v="0"/>
    <n v="9"/>
    <n v="2"/>
    <n v="9"/>
    <n v="7"/>
    <n v="0"/>
    <n v="8"/>
  </r>
  <r>
    <s v="No"/>
    <s v="Travel_Frequently"/>
    <x v="2"/>
    <s v="Current Employees"/>
    <x v="0"/>
    <x v="4"/>
    <x v="697"/>
    <x v="697"/>
    <x v="0"/>
    <x v="6"/>
    <x v="1"/>
    <s v="No"/>
    <s v="Y"/>
    <n v="5"/>
    <n v="-2"/>
    <n v="0"/>
    <n v="29"/>
    <n v="0"/>
    <m/>
    <n v="0"/>
    <n v="1"/>
    <n v="1404"/>
    <n v="20"/>
    <x v="3"/>
    <n v="1"/>
    <n v="4"/>
    <n v="84"/>
    <n v="3"/>
    <n v="1"/>
    <n v="4"/>
    <n v="2157"/>
    <n v="18203"/>
    <n v="1"/>
    <n v="15"/>
    <n v="3"/>
    <n v="2"/>
    <n v="80"/>
    <n v="1"/>
    <n v="3"/>
    <n v="3"/>
    <n v="3"/>
    <n v="1"/>
    <n v="0"/>
    <n v="2"/>
  </r>
  <r>
    <s v="No"/>
    <s v="Travel_Rarely"/>
    <x v="0"/>
    <s v="Current Employees"/>
    <x v="0"/>
    <x v="2"/>
    <x v="698"/>
    <x v="698"/>
    <x v="0"/>
    <x v="0"/>
    <x v="1"/>
    <s v="No"/>
    <s v="Y"/>
    <n v="3"/>
    <n v="-2"/>
    <n v="0"/>
    <n v="35"/>
    <n v="0"/>
    <m/>
    <n v="0"/>
    <n v="1"/>
    <n v="1219"/>
    <n v="18"/>
    <x v="3"/>
    <n v="1"/>
    <n v="3"/>
    <n v="86"/>
    <n v="3"/>
    <n v="2"/>
    <n v="3"/>
    <n v="4601"/>
    <n v="6179"/>
    <n v="1"/>
    <n v="16"/>
    <n v="3"/>
    <n v="2"/>
    <n v="80"/>
    <n v="0"/>
    <n v="5"/>
    <n v="3"/>
    <n v="5"/>
    <n v="2"/>
    <n v="1"/>
    <n v="0"/>
  </r>
  <r>
    <s v="No"/>
    <s v="Travel_Rarely"/>
    <x v="1"/>
    <s v="Current Employees"/>
    <x v="1"/>
    <x v="0"/>
    <x v="699"/>
    <x v="699"/>
    <x v="1"/>
    <x v="5"/>
    <x v="1"/>
    <s v="No"/>
    <s v="Y"/>
    <n v="2"/>
    <n v="-2"/>
    <n v="0"/>
    <n v="52"/>
    <n v="0"/>
    <m/>
    <n v="0"/>
    <n v="1"/>
    <n v="1053"/>
    <n v="1"/>
    <x v="0"/>
    <n v="1"/>
    <n v="4"/>
    <n v="70"/>
    <n v="3"/>
    <n v="4"/>
    <n v="1"/>
    <n v="17099"/>
    <n v="13829"/>
    <n v="2"/>
    <n v="15"/>
    <n v="3"/>
    <n v="2"/>
    <n v="80"/>
    <n v="1"/>
    <n v="26"/>
    <n v="2"/>
    <n v="9"/>
    <n v="8"/>
    <n v="7"/>
    <n v="8"/>
  </r>
  <r>
    <s v="Yes"/>
    <s v="Travel_Rarely"/>
    <x v="3"/>
    <s v="Ex-Employees"/>
    <x v="1"/>
    <x v="4"/>
    <x v="700"/>
    <x v="700"/>
    <x v="1"/>
    <x v="1"/>
    <x v="0"/>
    <s v="No"/>
    <s v="Y"/>
    <n v="4"/>
    <n v="-2"/>
    <n v="0"/>
    <n v="58"/>
    <n v="1"/>
    <n v="1"/>
    <n v="1"/>
    <n v="0"/>
    <n v="289"/>
    <n v="2"/>
    <x v="3"/>
    <n v="1"/>
    <n v="4"/>
    <n v="51"/>
    <n v="3"/>
    <n v="1"/>
    <n v="4"/>
    <n v="2479"/>
    <n v="26227"/>
    <n v="4"/>
    <n v="24"/>
    <n v="4"/>
    <n v="1"/>
    <n v="80"/>
    <n v="0"/>
    <n v="7"/>
    <n v="3"/>
    <n v="1"/>
    <n v="0"/>
    <n v="0"/>
    <n v="0"/>
  </r>
  <r>
    <s v="No"/>
    <s v="Travel_Rarely"/>
    <x v="1"/>
    <s v="Current Employees"/>
    <x v="0"/>
    <x v="2"/>
    <x v="701"/>
    <x v="701"/>
    <x v="1"/>
    <x v="5"/>
    <x v="2"/>
    <s v="No"/>
    <s v="Y"/>
    <n v="3"/>
    <n v="-2"/>
    <n v="0"/>
    <n v="53"/>
    <n v="0"/>
    <m/>
    <n v="0"/>
    <n v="1"/>
    <n v="1376"/>
    <n v="2"/>
    <x v="0"/>
    <n v="1"/>
    <n v="3"/>
    <n v="45"/>
    <n v="3"/>
    <n v="4"/>
    <n v="3"/>
    <n v="14852"/>
    <n v="13938"/>
    <n v="6"/>
    <n v="13"/>
    <n v="3"/>
    <n v="3"/>
    <n v="80"/>
    <n v="1"/>
    <n v="22"/>
    <n v="4"/>
    <n v="17"/>
    <n v="13"/>
    <n v="15"/>
    <n v="2"/>
  </r>
  <r>
    <s v="No"/>
    <s v="Travel_Rarely"/>
    <x v="2"/>
    <s v="Current Employees"/>
    <x v="0"/>
    <x v="1"/>
    <x v="702"/>
    <x v="702"/>
    <x v="1"/>
    <x v="0"/>
    <x v="2"/>
    <s v="No"/>
    <s v="Y"/>
    <n v="2"/>
    <n v="-2"/>
    <n v="0"/>
    <n v="30"/>
    <n v="0"/>
    <m/>
    <n v="0"/>
    <n v="1"/>
    <n v="231"/>
    <n v="8"/>
    <x v="0"/>
    <n v="1"/>
    <n v="3"/>
    <n v="62"/>
    <n v="3"/>
    <n v="3"/>
    <n v="3"/>
    <n v="7264"/>
    <n v="9977"/>
    <n v="5"/>
    <n v="11"/>
    <n v="3"/>
    <n v="1"/>
    <n v="80"/>
    <n v="1"/>
    <n v="10"/>
    <n v="4"/>
    <n v="8"/>
    <n v="4"/>
    <n v="7"/>
    <n v="7"/>
  </r>
  <r>
    <s v="No"/>
    <s v="Non-Travel"/>
    <x v="0"/>
    <s v="Current Employees"/>
    <x v="0"/>
    <x v="4"/>
    <x v="703"/>
    <x v="703"/>
    <x v="0"/>
    <x v="0"/>
    <x v="0"/>
    <s v="Yes"/>
    <s v="Y"/>
    <n v="1"/>
    <n v="-2"/>
    <n v="0"/>
    <n v="38"/>
    <n v="0"/>
    <m/>
    <n v="0"/>
    <n v="1"/>
    <n v="152"/>
    <n v="10"/>
    <x v="3"/>
    <n v="1"/>
    <n v="4"/>
    <n v="85"/>
    <n v="3"/>
    <n v="2"/>
    <n v="4"/>
    <n v="5666"/>
    <n v="19899"/>
    <n v="1"/>
    <n v="13"/>
    <n v="3"/>
    <n v="2"/>
    <n v="80"/>
    <n v="0"/>
    <n v="6"/>
    <n v="3"/>
    <n v="5"/>
    <n v="3"/>
    <n v="1"/>
    <n v="3"/>
  </r>
  <r>
    <s v="No"/>
    <s v="Travel_Rarely"/>
    <x v="0"/>
    <s v="Current Employees"/>
    <x v="0"/>
    <x v="0"/>
    <x v="704"/>
    <x v="704"/>
    <x v="1"/>
    <x v="0"/>
    <x v="2"/>
    <s v="No"/>
    <s v="Y"/>
    <n v="2"/>
    <n v="-2"/>
    <n v="0"/>
    <n v="35"/>
    <n v="0"/>
    <m/>
    <n v="0"/>
    <n v="1"/>
    <n v="882"/>
    <n v="3"/>
    <x v="2"/>
    <n v="1"/>
    <n v="4"/>
    <n v="92"/>
    <n v="3"/>
    <n v="3"/>
    <n v="1"/>
    <n v="7823"/>
    <n v="6812"/>
    <n v="6"/>
    <n v="13"/>
    <n v="3"/>
    <n v="2"/>
    <n v="80"/>
    <n v="1"/>
    <n v="12"/>
    <n v="3"/>
    <n v="10"/>
    <n v="9"/>
    <n v="0"/>
    <n v="8"/>
  </r>
  <r>
    <s v="No"/>
    <s v="Travel_Rarely"/>
    <x v="0"/>
    <s v="Current Employees"/>
    <x v="0"/>
    <x v="0"/>
    <x v="705"/>
    <x v="705"/>
    <x v="1"/>
    <x v="0"/>
    <x v="0"/>
    <s v="No"/>
    <s v="Y"/>
    <n v="3"/>
    <n v="-2"/>
    <n v="0"/>
    <n v="39"/>
    <n v="0"/>
    <m/>
    <n v="0"/>
    <n v="1"/>
    <n v="903"/>
    <n v="2"/>
    <x v="4"/>
    <n v="1"/>
    <n v="1"/>
    <n v="41"/>
    <n v="4"/>
    <n v="3"/>
    <n v="1"/>
    <n v="7880"/>
    <n v="2560"/>
    <n v="0"/>
    <n v="18"/>
    <n v="3"/>
    <n v="4"/>
    <n v="80"/>
    <n v="0"/>
    <n v="9"/>
    <n v="3"/>
    <n v="8"/>
    <n v="7"/>
    <n v="0"/>
    <n v="7"/>
  </r>
  <r>
    <s v="Yes"/>
    <s v="Non-Travel"/>
    <x v="0"/>
    <s v="Ex-Employees"/>
    <x v="0"/>
    <x v="0"/>
    <x v="706"/>
    <x v="706"/>
    <x v="0"/>
    <x v="0"/>
    <x v="0"/>
    <s v="Yes"/>
    <s v="Y"/>
    <n v="2"/>
    <n v="-2"/>
    <n v="0"/>
    <n v="40"/>
    <n v="1"/>
    <n v="1"/>
    <n v="1"/>
    <n v="0"/>
    <n v="1479"/>
    <n v="24"/>
    <x v="3"/>
    <n v="1"/>
    <n v="2"/>
    <n v="100"/>
    <n v="4"/>
    <n v="4"/>
    <n v="1"/>
    <n v="13194"/>
    <n v="17071"/>
    <n v="4"/>
    <n v="16"/>
    <n v="3"/>
    <n v="4"/>
    <n v="80"/>
    <n v="0"/>
    <n v="22"/>
    <n v="2"/>
    <n v="1"/>
    <n v="0"/>
    <n v="0"/>
    <n v="0"/>
  </r>
  <r>
    <s v="No"/>
    <s v="Travel_Frequently"/>
    <x v="1"/>
    <s v="Current Employees"/>
    <x v="1"/>
    <x v="2"/>
    <x v="707"/>
    <x v="707"/>
    <x v="1"/>
    <x v="3"/>
    <x v="2"/>
    <s v="Yes"/>
    <s v="Y"/>
    <n v="3"/>
    <n v="-2"/>
    <n v="0"/>
    <n v="47"/>
    <n v="0"/>
    <m/>
    <n v="0"/>
    <n v="1"/>
    <n v="1379"/>
    <n v="16"/>
    <x v="2"/>
    <n v="1"/>
    <n v="3"/>
    <n v="64"/>
    <n v="4"/>
    <n v="2"/>
    <n v="3"/>
    <n v="5067"/>
    <n v="6759"/>
    <n v="1"/>
    <n v="19"/>
    <n v="3"/>
    <n v="3"/>
    <n v="80"/>
    <n v="0"/>
    <n v="20"/>
    <n v="4"/>
    <n v="19"/>
    <n v="10"/>
    <n v="2"/>
    <n v="7"/>
  </r>
  <r>
    <s v="No"/>
    <s v="Non-Travel"/>
    <x v="0"/>
    <s v="Current Employees"/>
    <x v="0"/>
    <x v="4"/>
    <x v="708"/>
    <x v="708"/>
    <x v="1"/>
    <x v="0"/>
    <x v="2"/>
    <s v="No"/>
    <s v="Y"/>
    <n v="3"/>
    <n v="-2"/>
    <n v="0"/>
    <n v="36"/>
    <n v="0"/>
    <m/>
    <n v="0"/>
    <n v="1"/>
    <n v="1229"/>
    <n v="8"/>
    <x v="2"/>
    <n v="1"/>
    <n v="4"/>
    <n v="84"/>
    <n v="3"/>
    <n v="2"/>
    <n v="4"/>
    <n v="5079"/>
    <n v="25952"/>
    <n v="4"/>
    <n v="13"/>
    <n v="3"/>
    <n v="4"/>
    <n v="80"/>
    <n v="2"/>
    <n v="12"/>
    <n v="3"/>
    <n v="7"/>
    <n v="7"/>
    <n v="0"/>
    <n v="7"/>
  </r>
  <r>
    <s v="Yes"/>
    <s v="Non-Travel"/>
    <x v="2"/>
    <s v="Ex-Employees"/>
    <x v="1"/>
    <x v="2"/>
    <x v="709"/>
    <x v="709"/>
    <x v="1"/>
    <x v="1"/>
    <x v="0"/>
    <s v="Yes"/>
    <s v="Y"/>
    <n v="0"/>
    <n v="-2"/>
    <n v="0"/>
    <n v="31"/>
    <n v="1"/>
    <n v="1"/>
    <n v="1"/>
    <n v="0"/>
    <n v="335"/>
    <n v="9"/>
    <x v="0"/>
    <n v="1"/>
    <n v="3"/>
    <n v="46"/>
    <n v="2"/>
    <n v="1"/>
    <n v="3"/>
    <n v="2321"/>
    <n v="10322"/>
    <n v="0"/>
    <n v="22"/>
    <n v="4"/>
    <n v="1"/>
    <n v="80"/>
    <n v="0"/>
    <n v="4"/>
    <n v="3"/>
    <n v="3"/>
    <n v="2"/>
    <n v="1"/>
    <n v="2"/>
  </r>
  <r>
    <s v="No"/>
    <s v="Non-Travel"/>
    <x v="2"/>
    <s v="Current Employees"/>
    <x v="0"/>
    <x v="0"/>
    <x v="710"/>
    <x v="710"/>
    <x v="1"/>
    <x v="5"/>
    <x v="0"/>
    <s v="No"/>
    <s v="Y"/>
    <n v="2"/>
    <n v="-2"/>
    <n v="0"/>
    <n v="33"/>
    <n v="0"/>
    <m/>
    <n v="0"/>
    <n v="1"/>
    <n v="722"/>
    <n v="17"/>
    <x v="3"/>
    <n v="1"/>
    <n v="4"/>
    <n v="38"/>
    <n v="3"/>
    <n v="4"/>
    <n v="1"/>
    <n v="17444"/>
    <n v="20489"/>
    <n v="1"/>
    <n v="11"/>
    <n v="3"/>
    <n v="4"/>
    <n v="80"/>
    <n v="0"/>
    <n v="10"/>
    <n v="3"/>
    <n v="10"/>
    <n v="8"/>
    <n v="6"/>
    <n v="0"/>
  </r>
  <r>
    <s v="Yes"/>
    <s v="Travel_Rarely"/>
    <x v="2"/>
    <s v="Ex-Employees"/>
    <x v="1"/>
    <x v="0"/>
    <x v="711"/>
    <x v="711"/>
    <x v="0"/>
    <x v="1"/>
    <x v="0"/>
    <s v="Yes"/>
    <s v="Y"/>
    <n v="5"/>
    <n v="-2"/>
    <n v="0"/>
    <n v="29"/>
    <n v="1"/>
    <n v="1"/>
    <n v="1"/>
    <n v="0"/>
    <n v="906"/>
    <n v="10"/>
    <x v="3"/>
    <n v="1"/>
    <n v="4"/>
    <n v="92"/>
    <n v="2"/>
    <n v="1"/>
    <n v="1"/>
    <n v="2404"/>
    <n v="11479"/>
    <n v="6"/>
    <n v="20"/>
    <n v="4"/>
    <n v="3"/>
    <n v="80"/>
    <n v="0"/>
    <n v="3"/>
    <n v="3"/>
    <n v="0"/>
    <n v="0"/>
    <n v="0"/>
    <n v="0"/>
  </r>
  <r>
    <s v="No"/>
    <s v="Travel_Rarely"/>
    <x v="2"/>
    <s v="Current Employees"/>
    <x v="1"/>
    <x v="0"/>
    <x v="712"/>
    <x v="712"/>
    <x v="0"/>
    <x v="1"/>
    <x v="0"/>
    <s v="No"/>
    <s v="Y"/>
    <n v="4"/>
    <n v="-2"/>
    <n v="0"/>
    <n v="33"/>
    <n v="0"/>
    <m/>
    <n v="0"/>
    <n v="1"/>
    <n v="461"/>
    <n v="13"/>
    <x v="1"/>
    <n v="1"/>
    <n v="2"/>
    <n v="53"/>
    <n v="3"/>
    <n v="1"/>
    <n v="1"/>
    <n v="3452"/>
    <n v="17241"/>
    <n v="3"/>
    <n v="18"/>
    <n v="3"/>
    <n v="1"/>
    <n v="80"/>
    <n v="0"/>
    <n v="5"/>
    <n v="3"/>
    <n v="3"/>
    <n v="2"/>
    <n v="0"/>
    <n v="2"/>
  </r>
  <r>
    <s v="No"/>
    <s v="Travel_Rarely"/>
    <x v="1"/>
    <s v="Current Employees"/>
    <x v="1"/>
    <x v="2"/>
    <x v="713"/>
    <x v="713"/>
    <x v="0"/>
    <x v="2"/>
    <x v="2"/>
    <s v="No"/>
    <s v="Y"/>
    <n v="2"/>
    <n v="-2"/>
    <n v="0"/>
    <n v="45"/>
    <n v="0"/>
    <m/>
    <n v="0"/>
    <n v="1"/>
    <n v="974"/>
    <n v="1"/>
    <x v="2"/>
    <n v="1"/>
    <n v="4"/>
    <n v="91"/>
    <n v="3"/>
    <n v="1"/>
    <n v="4"/>
    <n v="2270"/>
    <n v="11005"/>
    <n v="3"/>
    <n v="14"/>
    <n v="3"/>
    <n v="4"/>
    <n v="80"/>
    <n v="2"/>
    <n v="8"/>
    <n v="3"/>
    <n v="5"/>
    <n v="3"/>
    <n v="0"/>
    <n v="2"/>
  </r>
  <r>
    <s v="No"/>
    <s v="Travel_Rarely"/>
    <x v="1"/>
    <s v="Current Employees"/>
    <x v="1"/>
    <x v="2"/>
    <x v="714"/>
    <x v="714"/>
    <x v="1"/>
    <x v="7"/>
    <x v="2"/>
    <s v="No"/>
    <s v="Y"/>
    <n v="1"/>
    <n v="-2"/>
    <n v="0"/>
    <n v="50"/>
    <n v="0"/>
    <m/>
    <n v="0"/>
    <n v="1"/>
    <n v="1126"/>
    <n v="1"/>
    <x v="0"/>
    <n v="1"/>
    <n v="4"/>
    <n v="66"/>
    <n v="3"/>
    <n v="4"/>
    <n v="4"/>
    <n v="17399"/>
    <n v="6615"/>
    <n v="9"/>
    <n v="22"/>
    <n v="4"/>
    <n v="3"/>
    <n v="80"/>
    <n v="1"/>
    <n v="32"/>
    <n v="2"/>
    <n v="5"/>
    <n v="4"/>
    <n v="1"/>
    <n v="3"/>
  </r>
  <r>
    <s v="No"/>
    <s v="Travel_Frequently"/>
    <x v="2"/>
    <s v="Current Employees"/>
    <x v="1"/>
    <x v="1"/>
    <x v="715"/>
    <x v="715"/>
    <x v="0"/>
    <x v="4"/>
    <x v="1"/>
    <s v="Yes"/>
    <s v="Y"/>
    <n v="2"/>
    <n v="-2"/>
    <n v="0"/>
    <n v="33"/>
    <n v="0"/>
    <m/>
    <n v="0"/>
    <n v="1"/>
    <n v="827"/>
    <n v="1"/>
    <x v="2"/>
    <n v="1"/>
    <n v="3"/>
    <n v="84"/>
    <n v="4"/>
    <n v="2"/>
    <n v="3"/>
    <n v="5488"/>
    <n v="20161"/>
    <n v="1"/>
    <n v="13"/>
    <n v="3"/>
    <n v="1"/>
    <n v="80"/>
    <n v="1"/>
    <n v="6"/>
    <n v="3"/>
    <n v="6"/>
    <n v="5"/>
    <n v="1"/>
    <n v="2"/>
  </r>
  <r>
    <s v="No"/>
    <s v="Travel_Frequently"/>
    <x v="0"/>
    <s v="Current Employees"/>
    <x v="1"/>
    <x v="2"/>
    <x v="716"/>
    <x v="716"/>
    <x v="1"/>
    <x v="7"/>
    <x v="2"/>
    <s v="No"/>
    <s v="Y"/>
    <n v="2"/>
    <n v="-2"/>
    <n v="0"/>
    <n v="41"/>
    <n v="0"/>
    <m/>
    <n v="0"/>
    <n v="1"/>
    <n v="840"/>
    <n v="9"/>
    <x v="3"/>
    <n v="1"/>
    <n v="1"/>
    <n v="64"/>
    <n v="3"/>
    <n v="5"/>
    <n v="3"/>
    <n v="19419"/>
    <n v="3735"/>
    <n v="2"/>
    <n v="17"/>
    <n v="3"/>
    <n v="2"/>
    <n v="80"/>
    <n v="1"/>
    <n v="21"/>
    <n v="4"/>
    <n v="18"/>
    <n v="16"/>
    <n v="0"/>
    <n v="11"/>
  </r>
  <r>
    <s v="No"/>
    <s v="Travel_Rarely"/>
    <x v="2"/>
    <s v="Current Employees"/>
    <x v="1"/>
    <x v="4"/>
    <x v="717"/>
    <x v="717"/>
    <x v="0"/>
    <x v="2"/>
    <x v="1"/>
    <s v="No"/>
    <s v="Y"/>
    <n v="2"/>
    <n v="-2"/>
    <n v="0"/>
    <n v="27"/>
    <n v="0"/>
    <m/>
    <n v="0"/>
    <n v="1"/>
    <n v="1134"/>
    <n v="16"/>
    <x v="2"/>
    <n v="1"/>
    <n v="4"/>
    <n v="37"/>
    <n v="3"/>
    <n v="1"/>
    <n v="4"/>
    <n v="2811"/>
    <n v="12086"/>
    <n v="9"/>
    <n v="14"/>
    <n v="3"/>
    <n v="2"/>
    <n v="80"/>
    <n v="1"/>
    <n v="4"/>
    <n v="3"/>
    <n v="2"/>
    <n v="2"/>
    <n v="2"/>
    <n v="2"/>
  </r>
  <r>
    <s v="No"/>
    <s v="Non-Travel"/>
    <x v="1"/>
    <s v="Current Employees"/>
    <x v="1"/>
    <x v="0"/>
    <x v="718"/>
    <x v="718"/>
    <x v="1"/>
    <x v="2"/>
    <x v="1"/>
    <s v="Yes"/>
    <s v="Y"/>
    <n v="2"/>
    <n v="-2"/>
    <n v="0"/>
    <n v="45"/>
    <n v="0"/>
    <m/>
    <n v="0"/>
    <n v="1"/>
    <n v="248"/>
    <n v="23"/>
    <x v="0"/>
    <n v="1"/>
    <n v="4"/>
    <n v="42"/>
    <n v="3"/>
    <n v="2"/>
    <n v="1"/>
    <n v="3633"/>
    <n v="14039"/>
    <n v="1"/>
    <n v="15"/>
    <n v="3"/>
    <n v="3"/>
    <n v="80"/>
    <n v="1"/>
    <n v="9"/>
    <n v="3"/>
    <n v="9"/>
    <n v="8"/>
    <n v="0"/>
    <n v="8"/>
  </r>
  <r>
    <s v="No"/>
    <s v="Travel_Rarely"/>
    <x v="1"/>
    <s v="Current Employees"/>
    <x v="0"/>
    <x v="0"/>
    <x v="719"/>
    <x v="719"/>
    <x v="0"/>
    <x v="0"/>
    <x v="0"/>
    <s v="Yes"/>
    <s v="Y"/>
    <n v="0"/>
    <n v="-2"/>
    <n v="0"/>
    <n v="47"/>
    <n v="0"/>
    <m/>
    <n v="0"/>
    <n v="1"/>
    <n v="955"/>
    <n v="4"/>
    <x v="0"/>
    <n v="1"/>
    <n v="4"/>
    <n v="83"/>
    <n v="3"/>
    <n v="2"/>
    <n v="1"/>
    <n v="4163"/>
    <n v="8571"/>
    <n v="1"/>
    <n v="17"/>
    <n v="3"/>
    <n v="3"/>
    <n v="80"/>
    <n v="0"/>
    <n v="9"/>
    <n v="3"/>
    <n v="9"/>
    <n v="0"/>
    <n v="0"/>
    <n v="7"/>
  </r>
  <r>
    <s v="Yes"/>
    <s v="Travel_Rarely"/>
    <x v="2"/>
    <s v="Ex-Employees"/>
    <x v="1"/>
    <x v="0"/>
    <x v="720"/>
    <x v="720"/>
    <x v="0"/>
    <x v="1"/>
    <x v="1"/>
    <s v="Yes"/>
    <s v="Y"/>
    <n v="2"/>
    <n v="-2"/>
    <n v="0"/>
    <n v="30"/>
    <n v="1"/>
    <n v="1"/>
    <n v="1"/>
    <n v="0"/>
    <n v="138"/>
    <n v="22"/>
    <x v="3"/>
    <n v="1"/>
    <n v="1"/>
    <n v="48"/>
    <n v="3"/>
    <n v="1"/>
    <n v="1"/>
    <n v="2132"/>
    <n v="11539"/>
    <n v="4"/>
    <n v="11"/>
    <n v="3"/>
    <n v="2"/>
    <n v="80"/>
    <n v="0"/>
    <n v="7"/>
    <n v="3"/>
    <n v="5"/>
    <n v="2"/>
    <n v="0"/>
    <n v="1"/>
  </r>
  <r>
    <s v="No"/>
    <s v="Travel_Rarely"/>
    <x v="1"/>
    <s v="Current Employees"/>
    <x v="1"/>
    <x v="0"/>
    <x v="721"/>
    <x v="721"/>
    <x v="1"/>
    <x v="3"/>
    <x v="1"/>
    <s v="Yes"/>
    <s v="Y"/>
    <n v="2"/>
    <n v="-2"/>
    <n v="0"/>
    <n v="50"/>
    <n v="0"/>
    <m/>
    <n v="0"/>
    <n v="1"/>
    <n v="939"/>
    <n v="24"/>
    <x v="3"/>
    <n v="1"/>
    <n v="4"/>
    <n v="95"/>
    <n v="3"/>
    <n v="4"/>
    <n v="1"/>
    <n v="13973"/>
    <n v="4161"/>
    <n v="3"/>
    <n v="18"/>
    <n v="3"/>
    <n v="4"/>
    <n v="80"/>
    <n v="1"/>
    <n v="22"/>
    <n v="3"/>
    <n v="12"/>
    <n v="11"/>
    <n v="1"/>
    <n v="5"/>
  </r>
  <r>
    <s v="No"/>
    <s v="Travel_Frequently"/>
    <x v="0"/>
    <s v="Current Employees"/>
    <x v="1"/>
    <x v="2"/>
    <x v="722"/>
    <x v="722"/>
    <x v="1"/>
    <x v="1"/>
    <x v="1"/>
    <s v="No"/>
    <s v="Y"/>
    <n v="0"/>
    <n v="-2"/>
    <n v="0"/>
    <n v="38"/>
    <n v="0"/>
    <m/>
    <n v="0"/>
    <n v="1"/>
    <n v="1391"/>
    <n v="10"/>
    <x v="1"/>
    <n v="1"/>
    <n v="3"/>
    <n v="66"/>
    <n v="3"/>
    <n v="1"/>
    <n v="3"/>
    <n v="2684"/>
    <n v="12127"/>
    <n v="0"/>
    <n v="17"/>
    <n v="3"/>
    <n v="2"/>
    <n v="80"/>
    <n v="1"/>
    <n v="3"/>
    <n v="2"/>
    <n v="2"/>
    <n v="1"/>
    <n v="0"/>
    <n v="2"/>
  </r>
  <r>
    <s v="No"/>
    <s v="Travel_Rarely"/>
    <x v="1"/>
    <s v="Current Employees"/>
    <x v="1"/>
    <x v="2"/>
    <x v="723"/>
    <x v="723"/>
    <x v="1"/>
    <x v="3"/>
    <x v="2"/>
    <s v="No"/>
    <s v="Y"/>
    <n v="3"/>
    <n v="-2"/>
    <n v="0"/>
    <n v="46"/>
    <n v="0"/>
    <m/>
    <n v="0"/>
    <n v="1"/>
    <n v="566"/>
    <n v="7"/>
    <x v="0"/>
    <n v="1"/>
    <n v="4"/>
    <n v="75"/>
    <n v="3"/>
    <n v="3"/>
    <n v="3"/>
    <n v="10845"/>
    <n v="24208"/>
    <n v="6"/>
    <n v="13"/>
    <n v="3"/>
    <n v="2"/>
    <n v="80"/>
    <n v="1"/>
    <n v="13"/>
    <n v="3"/>
    <n v="8"/>
    <n v="7"/>
    <n v="0"/>
    <n v="7"/>
  </r>
  <r>
    <s v="No"/>
    <s v="Travel_Rarely"/>
    <x v="4"/>
    <s v="Current Employees"/>
    <x v="1"/>
    <x v="2"/>
    <x v="724"/>
    <x v="724"/>
    <x v="0"/>
    <x v="3"/>
    <x v="2"/>
    <s v="No"/>
    <s v="Y"/>
    <n v="6"/>
    <n v="-2"/>
    <n v="0"/>
    <n v="24"/>
    <n v="0"/>
    <m/>
    <n v="0"/>
    <n v="1"/>
    <n v="1206"/>
    <n v="17"/>
    <x v="1"/>
    <n v="1"/>
    <n v="4"/>
    <n v="41"/>
    <n v="2"/>
    <n v="2"/>
    <n v="3"/>
    <n v="4377"/>
    <n v="24117"/>
    <n v="1"/>
    <n v="15"/>
    <n v="3"/>
    <n v="2"/>
    <n v="80"/>
    <n v="2"/>
    <n v="5"/>
    <n v="3"/>
    <n v="4"/>
    <n v="2"/>
    <n v="3"/>
    <n v="2"/>
  </r>
  <r>
    <s v="Yes"/>
    <s v="Travel_Rarely"/>
    <x v="0"/>
    <s v="Ex-Employees"/>
    <x v="1"/>
    <x v="1"/>
    <x v="725"/>
    <x v="725"/>
    <x v="1"/>
    <x v="2"/>
    <x v="2"/>
    <s v="Yes"/>
    <s v="Y"/>
    <n v="2"/>
    <n v="-2"/>
    <n v="0"/>
    <n v="35"/>
    <n v="1"/>
    <n v="1"/>
    <n v="1"/>
    <n v="0"/>
    <n v="622"/>
    <n v="14"/>
    <x v="2"/>
    <n v="1"/>
    <n v="3"/>
    <n v="39"/>
    <n v="2"/>
    <n v="1"/>
    <n v="3"/>
    <n v="3743"/>
    <n v="10074"/>
    <n v="1"/>
    <n v="24"/>
    <n v="4"/>
    <n v="4"/>
    <n v="80"/>
    <n v="1"/>
    <n v="5"/>
    <n v="1"/>
    <n v="4"/>
    <n v="2"/>
    <n v="0"/>
    <n v="2"/>
  </r>
  <r>
    <s v="No"/>
    <s v="Travel_Frequently"/>
    <x v="2"/>
    <s v="Current Employees"/>
    <x v="1"/>
    <x v="0"/>
    <x v="726"/>
    <x v="726"/>
    <x v="0"/>
    <x v="3"/>
    <x v="1"/>
    <s v="No"/>
    <s v="Y"/>
    <n v="1"/>
    <n v="-2"/>
    <n v="0"/>
    <n v="31"/>
    <n v="0"/>
    <m/>
    <n v="0"/>
    <n v="1"/>
    <n v="853"/>
    <n v="1"/>
    <x v="1"/>
    <n v="1"/>
    <n v="3"/>
    <n v="96"/>
    <n v="3"/>
    <n v="2"/>
    <n v="1"/>
    <n v="4148"/>
    <n v="11275"/>
    <n v="1"/>
    <n v="12"/>
    <n v="3"/>
    <n v="3"/>
    <n v="80"/>
    <n v="1"/>
    <n v="4"/>
    <n v="3"/>
    <n v="4"/>
    <n v="3"/>
    <n v="0"/>
    <n v="3"/>
  </r>
  <r>
    <s v="No"/>
    <s v="Non-Travel"/>
    <x v="4"/>
    <s v="Current Employees"/>
    <x v="1"/>
    <x v="0"/>
    <x v="727"/>
    <x v="727"/>
    <x v="1"/>
    <x v="1"/>
    <x v="0"/>
    <s v="No"/>
    <s v="Y"/>
    <n v="2"/>
    <n v="-2"/>
    <n v="0"/>
    <n v="18"/>
    <n v="0"/>
    <m/>
    <n v="0"/>
    <n v="1"/>
    <n v="287"/>
    <n v="5"/>
    <x v="0"/>
    <n v="1"/>
    <n v="2"/>
    <n v="73"/>
    <n v="3"/>
    <n v="1"/>
    <n v="1"/>
    <n v="1051"/>
    <n v="13493"/>
    <n v="1"/>
    <n v="15"/>
    <n v="3"/>
    <n v="4"/>
    <n v="80"/>
    <n v="0"/>
    <n v="0"/>
    <n v="3"/>
    <n v="0"/>
    <n v="0"/>
    <n v="0"/>
    <n v="0"/>
  </r>
  <r>
    <s v="No"/>
    <s v="Travel_Rarely"/>
    <x v="1"/>
    <s v="Current Employees"/>
    <x v="1"/>
    <x v="4"/>
    <x v="728"/>
    <x v="728"/>
    <x v="0"/>
    <x v="3"/>
    <x v="1"/>
    <s v="No"/>
    <s v="Y"/>
    <n v="2"/>
    <n v="-2"/>
    <n v="0"/>
    <n v="54"/>
    <n v="0"/>
    <m/>
    <n v="0"/>
    <n v="1"/>
    <n v="1441"/>
    <n v="17"/>
    <x v="3"/>
    <n v="1"/>
    <n v="4"/>
    <n v="56"/>
    <n v="3"/>
    <n v="3"/>
    <n v="4"/>
    <n v="10739"/>
    <n v="13943"/>
    <n v="8"/>
    <n v="11"/>
    <n v="3"/>
    <n v="3"/>
    <n v="80"/>
    <n v="1"/>
    <n v="22"/>
    <n v="3"/>
    <n v="10"/>
    <n v="7"/>
    <n v="0"/>
    <n v="8"/>
  </r>
  <r>
    <s v="No"/>
    <s v="Travel_Rarely"/>
    <x v="0"/>
    <s v="Current Employees"/>
    <x v="1"/>
    <x v="2"/>
    <x v="729"/>
    <x v="729"/>
    <x v="0"/>
    <x v="4"/>
    <x v="2"/>
    <s v="Yes"/>
    <s v="Y"/>
    <n v="3"/>
    <n v="-2"/>
    <n v="0"/>
    <n v="35"/>
    <n v="0"/>
    <m/>
    <n v="0"/>
    <n v="1"/>
    <n v="583"/>
    <n v="25"/>
    <x v="2"/>
    <n v="1"/>
    <n v="3"/>
    <n v="57"/>
    <n v="3"/>
    <n v="3"/>
    <n v="3"/>
    <n v="10388"/>
    <n v="6975"/>
    <n v="1"/>
    <n v="11"/>
    <n v="3"/>
    <n v="3"/>
    <n v="80"/>
    <n v="1"/>
    <n v="16"/>
    <n v="2"/>
    <n v="16"/>
    <n v="10"/>
    <n v="10"/>
    <n v="1"/>
  </r>
  <r>
    <s v="No"/>
    <s v="Travel_Rarely"/>
    <x v="2"/>
    <s v="Current Employees"/>
    <x v="1"/>
    <x v="0"/>
    <x v="730"/>
    <x v="730"/>
    <x v="0"/>
    <x v="7"/>
    <x v="1"/>
    <s v="Yes"/>
    <s v="Y"/>
    <n v="4"/>
    <n v="-2"/>
    <n v="0"/>
    <n v="30"/>
    <n v="0"/>
    <m/>
    <n v="0"/>
    <n v="1"/>
    <n v="153"/>
    <n v="8"/>
    <x v="0"/>
    <n v="1"/>
    <n v="2"/>
    <n v="73"/>
    <n v="4"/>
    <n v="3"/>
    <n v="1"/>
    <n v="11416"/>
    <n v="17802"/>
    <n v="0"/>
    <n v="12"/>
    <n v="3"/>
    <n v="3"/>
    <n v="80"/>
    <n v="3"/>
    <n v="9"/>
    <n v="2"/>
    <n v="8"/>
    <n v="7"/>
    <n v="1"/>
    <n v="7"/>
  </r>
  <r>
    <s v="Yes"/>
    <s v="Travel_Rarely"/>
    <x v="4"/>
    <s v="Ex-Employees"/>
    <x v="1"/>
    <x v="2"/>
    <x v="731"/>
    <x v="731"/>
    <x v="0"/>
    <x v="1"/>
    <x v="0"/>
    <s v="Yes"/>
    <s v="Y"/>
    <n v="2"/>
    <n v="-2"/>
    <n v="0"/>
    <n v="20"/>
    <n v="1"/>
    <n v="1"/>
    <n v="1"/>
    <n v="0"/>
    <n v="1097"/>
    <n v="11"/>
    <x v="3"/>
    <n v="1"/>
    <n v="4"/>
    <n v="98"/>
    <n v="2"/>
    <n v="1"/>
    <n v="3"/>
    <n v="2600"/>
    <n v="18275"/>
    <n v="1"/>
    <n v="15"/>
    <n v="3"/>
    <n v="1"/>
    <n v="80"/>
    <n v="0"/>
    <n v="1"/>
    <n v="3"/>
    <n v="1"/>
    <n v="0"/>
    <n v="0"/>
    <n v="0"/>
  </r>
  <r>
    <s v="Yes"/>
    <s v="Travel_Frequently"/>
    <x v="2"/>
    <s v="Ex-Employees"/>
    <x v="1"/>
    <x v="2"/>
    <x v="732"/>
    <x v="732"/>
    <x v="0"/>
    <x v="2"/>
    <x v="0"/>
    <s v="No"/>
    <s v="Y"/>
    <n v="3"/>
    <n v="-2"/>
    <n v="0"/>
    <n v="30"/>
    <n v="1"/>
    <n v="1"/>
    <n v="1"/>
    <n v="0"/>
    <n v="109"/>
    <n v="5"/>
    <x v="3"/>
    <n v="1"/>
    <n v="2"/>
    <n v="60"/>
    <n v="3"/>
    <n v="1"/>
    <n v="3"/>
    <n v="2422"/>
    <n v="25725"/>
    <n v="0"/>
    <n v="17"/>
    <n v="3"/>
    <n v="1"/>
    <n v="80"/>
    <n v="0"/>
    <n v="4"/>
    <n v="3"/>
    <n v="3"/>
    <n v="2"/>
    <n v="1"/>
    <n v="2"/>
  </r>
  <r>
    <s v="No"/>
    <s v="Travel_Rarely"/>
    <x v="2"/>
    <s v="Current Employees"/>
    <x v="1"/>
    <x v="2"/>
    <x v="733"/>
    <x v="733"/>
    <x v="1"/>
    <x v="3"/>
    <x v="1"/>
    <s v="No"/>
    <s v="Y"/>
    <n v="2"/>
    <n v="-2"/>
    <n v="0"/>
    <n v="26"/>
    <n v="0"/>
    <m/>
    <n v="0"/>
    <n v="1"/>
    <n v="1066"/>
    <n v="2"/>
    <x v="0"/>
    <n v="1"/>
    <n v="4"/>
    <n v="32"/>
    <n v="4"/>
    <n v="2"/>
    <n v="4"/>
    <n v="5472"/>
    <n v="3334"/>
    <n v="1"/>
    <n v="12"/>
    <n v="3"/>
    <n v="2"/>
    <n v="80"/>
    <n v="0"/>
    <n v="8"/>
    <n v="3"/>
    <n v="8"/>
    <n v="7"/>
    <n v="1"/>
    <n v="3"/>
  </r>
  <r>
    <s v="No"/>
    <s v="Travel_Rarely"/>
    <x v="4"/>
    <s v="Current Employees"/>
    <x v="1"/>
    <x v="0"/>
    <x v="734"/>
    <x v="734"/>
    <x v="1"/>
    <x v="2"/>
    <x v="1"/>
    <s v="No"/>
    <s v="Y"/>
    <n v="3"/>
    <n v="-2"/>
    <n v="0"/>
    <n v="22"/>
    <n v="0"/>
    <m/>
    <n v="0"/>
    <n v="1"/>
    <n v="217"/>
    <n v="8"/>
    <x v="1"/>
    <n v="1"/>
    <n v="2"/>
    <n v="94"/>
    <n v="1"/>
    <n v="1"/>
    <n v="1"/>
    <n v="2451"/>
    <n v="6881"/>
    <n v="1"/>
    <n v="15"/>
    <n v="3"/>
    <n v="1"/>
    <n v="80"/>
    <n v="1"/>
    <n v="4"/>
    <n v="2"/>
    <n v="4"/>
    <n v="3"/>
    <n v="1"/>
    <n v="1"/>
  </r>
  <r>
    <s v="No"/>
    <s v="Travel_Rarely"/>
    <x v="1"/>
    <s v="Current Employees"/>
    <x v="1"/>
    <x v="0"/>
    <x v="735"/>
    <x v="735"/>
    <x v="1"/>
    <x v="4"/>
    <x v="0"/>
    <s v="No"/>
    <s v="Y"/>
    <n v="0"/>
    <n v="-2"/>
    <n v="0"/>
    <n v="48"/>
    <n v="0"/>
    <m/>
    <n v="0"/>
    <n v="1"/>
    <n v="277"/>
    <n v="6"/>
    <x v="3"/>
    <n v="1"/>
    <n v="1"/>
    <n v="97"/>
    <n v="2"/>
    <n v="2"/>
    <n v="1"/>
    <n v="4240"/>
    <n v="13119"/>
    <n v="2"/>
    <n v="13"/>
    <n v="3"/>
    <n v="4"/>
    <n v="80"/>
    <n v="0"/>
    <n v="19"/>
    <n v="3"/>
    <n v="2"/>
    <n v="2"/>
    <n v="2"/>
    <n v="2"/>
  </r>
  <r>
    <s v="No"/>
    <s v="Travel_Rarely"/>
    <x v="1"/>
    <s v="Current Employees"/>
    <x v="1"/>
    <x v="0"/>
    <x v="736"/>
    <x v="736"/>
    <x v="1"/>
    <x v="4"/>
    <x v="0"/>
    <s v="No"/>
    <s v="Y"/>
    <n v="3"/>
    <n v="-2"/>
    <n v="0"/>
    <n v="48"/>
    <n v="0"/>
    <m/>
    <n v="0"/>
    <n v="1"/>
    <n v="1355"/>
    <n v="4"/>
    <x v="2"/>
    <n v="1"/>
    <n v="3"/>
    <n v="78"/>
    <n v="2"/>
    <n v="3"/>
    <n v="1"/>
    <n v="10999"/>
    <n v="22245"/>
    <n v="7"/>
    <n v="14"/>
    <n v="3"/>
    <n v="2"/>
    <n v="80"/>
    <n v="0"/>
    <n v="27"/>
    <n v="3"/>
    <n v="15"/>
    <n v="11"/>
    <n v="4"/>
    <n v="8"/>
  </r>
  <r>
    <s v="No"/>
    <s v="Travel_Rarely"/>
    <x v="0"/>
    <s v="Current Employees"/>
    <x v="1"/>
    <x v="2"/>
    <x v="737"/>
    <x v="737"/>
    <x v="0"/>
    <x v="3"/>
    <x v="0"/>
    <s v="No"/>
    <s v="Y"/>
    <n v="6"/>
    <n v="-2"/>
    <n v="0"/>
    <n v="41"/>
    <n v="0"/>
    <m/>
    <n v="0"/>
    <n v="1"/>
    <n v="549"/>
    <n v="7"/>
    <x v="0"/>
    <n v="1"/>
    <n v="4"/>
    <n v="42"/>
    <n v="3"/>
    <n v="2"/>
    <n v="3"/>
    <n v="5003"/>
    <n v="23371"/>
    <n v="6"/>
    <n v="14"/>
    <n v="3"/>
    <n v="2"/>
    <n v="80"/>
    <n v="0"/>
    <n v="8"/>
    <n v="3"/>
    <n v="2"/>
    <n v="2"/>
    <n v="2"/>
    <n v="1"/>
  </r>
  <r>
    <s v="No"/>
    <s v="Travel_Rarely"/>
    <x v="0"/>
    <s v="Current Employees"/>
    <x v="1"/>
    <x v="0"/>
    <x v="738"/>
    <x v="738"/>
    <x v="0"/>
    <x v="3"/>
    <x v="1"/>
    <s v="No"/>
    <s v="Y"/>
    <n v="3"/>
    <n v="-2"/>
    <n v="0"/>
    <n v="39"/>
    <n v="0"/>
    <m/>
    <n v="0"/>
    <n v="1"/>
    <n v="466"/>
    <n v="1"/>
    <x v="1"/>
    <n v="1"/>
    <n v="4"/>
    <n v="65"/>
    <n v="2"/>
    <n v="4"/>
    <n v="1"/>
    <n v="12742"/>
    <n v="7060"/>
    <n v="1"/>
    <n v="16"/>
    <n v="3"/>
    <n v="3"/>
    <n v="80"/>
    <n v="1"/>
    <n v="21"/>
    <n v="3"/>
    <n v="21"/>
    <n v="6"/>
    <n v="11"/>
    <n v="8"/>
  </r>
  <r>
    <s v="No"/>
    <s v="Travel_Rarely"/>
    <x v="2"/>
    <s v="Current Employees"/>
    <x v="1"/>
    <x v="0"/>
    <x v="739"/>
    <x v="739"/>
    <x v="0"/>
    <x v="3"/>
    <x v="1"/>
    <s v="No"/>
    <s v="Y"/>
    <n v="2"/>
    <n v="-2"/>
    <n v="0"/>
    <n v="27"/>
    <n v="0"/>
    <m/>
    <n v="0"/>
    <n v="1"/>
    <n v="1055"/>
    <n v="2"/>
    <x v="2"/>
    <n v="1"/>
    <n v="1"/>
    <n v="47"/>
    <n v="3"/>
    <n v="2"/>
    <n v="1"/>
    <n v="4227"/>
    <n v="4658"/>
    <n v="0"/>
    <n v="18"/>
    <n v="3"/>
    <n v="2"/>
    <n v="80"/>
    <n v="1"/>
    <n v="4"/>
    <n v="3"/>
    <n v="3"/>
    <n v="2"/>
    <n v="2"/>
    <n v="2"/>
  </r>
  <r>
    <s v="No"/>
    <s v="Travel_Rarely"/>
    <x v="0"/>
    <s v="Current Employees"/>
    <x v="1"/>
    <x v="1"/>
    <x v="740"/>
    <x v="740"/>
    <x v="1"/>
    <x v="2"/>
    <x v="2"/>
    <s v="No"/>
    <s v="Y"/>
    <n v="4"/>
    <n v="-2"/>
    <n v="0"/>
    <n v="35"/>
    <n v="0"/>
    <m/>
    <n v="0"/>
    <n v="1"/>
    <n v="802"/>
    <n v="10"/>
    <x v="3"/>
    <n v="1"/>
    <n v="2"/>
    <n v="45"/>
    <n v="3"/>
    <n v="1"/>
    <n v="4"/>
    <n v="3917"/>
    <n v="9541"/>
    <n v="1"/>
    <n v="20"/>
    <n v="4"/>
    <n v="1"/>
    <n v="80"/>
    <n v="1"/>
    <n v="3"/>
    <n v="2"/>
    <n v="3"/>
    <n v="2"/>
    <n v="1"/>
    <n v="2"/>
  </r>
  <r>
    <s v="No"/>
    <s v="Travel_Rarely"/>
    <x v="0"/>
    <s v="Current Employees"/>
    <x v="0"/>
    <x v="3"/>
    <x v="741"/>
    <x v="741"/>
    <x v="1"/>
    <x v="5"/>
    <x v="1"/>
    <s v="No"/>
    <s v="Y"/>
    <n v="3"/>
    <n v="-2"/>
    <n v="0"/>
    <n v="42"/>
    <n v="0"/>
    <m/>
    <n v="0"/>
    <n v="1"/>
    <n v="265"/>
    <n v="5"/>
    <x v="0"/>
    <n v="1"/>
    <n v="4"/>
    <n v="90"/>
    <n v="3"/>
    <n v="5"/>
    <n v="2"/>
    <n v="18303"/>
    <n v="7770"/>
    <n v="6"/>
    <n v="13"/>
    <n v="3"/>
    <n v="2"/>
    <n v="80"/>
    <n v="0"/>
    <n v="21"/>
    <n v="4"/>
    <n v="1"/>
    <n v="0"/>
    <n v="0"/>
    <n v="0"/>
  </r>
  <r>
    <s v="No"/>
    <s v="Travel_Rarely"/>
    <x v="1"/>
    <s v="Current Employees"/>
    <x v="1"/>
    <x v="0"/>
    <x v="742"/>
    <x v="742"/>
    <x v="1"/>
    <x v="2"/>
    <x v="1"/>
    <s v="No"/>
    <s v="Y"/>
    <n v="5"/>
    <n v="-2"/>
    <n v="0"/>
    <n v="50"/>
    <n v="0"/>
    <m/>
    <n v="0"/>
    <n v="1"/>
    <n v="804"/>
    <n v="9"/>
    <x v="3"/>
    <n v="1"/>
    <n v="1"/>
    <n v="64"/>
    <n v="3"/>
    <n v="1"/>
    <n v="1"/>
    <n v="2380"/>
    <n v="20165"/>
    <n v="4"/>
    <n v="18"/>
    <n v="3"/>
    <n v="2"/>
    <n v="80"/>
    <n v="0"/>
    <n v="8"/>
    <n v="3"/>
    <n v="1"/>
    <n v="0"/>
    <n v="0"/>
    <n v="0"/>
  </r>
  <r>
    <s v="No"/>
    <s v="Travel_Rarely"/>
    <x v="3"/>
    <s v="Current Employees"/>
    <x v="1"/>
    <x v="0"/>
    <x v="743"/>
    <x v="743"/>
    <x v="0"/>
    <x v="3"/>
    <x v="0"/>
    <s v="Yes"/>
    <s v="Y"/>
    <n v="4"/>
    <n v="-2"/>
    <n v="0"/>
    <n v="59"/>
    <n v="0"/>
    <m/>
    <n v="0"/>
    <n v="1"/>
    <n v="715"/>
    <n v="2"/>
    <x v="3"/>
    <n v="1"/>
    <n v="3"/>
    <n v="69"/>
    <n v="2"/>
    <n v="4"/>
    <n v="1"/>
    <n v="13726"/>
    <n v="21829"/>
    <n v="3"/>
    <n v="13"/>
    <n v="3"/>
    <n v="1"/>
    <n v="80"/>
    <n v="0"/>
    <n v="30"/>
    <n v="3"/>
    <n v="5"/>
    <n v="3"/>
    <n v="4"/>
    <n v="3"/>
  </r>
  <r>
    <s v="Yes"/>
    <s v="Travel_Rarely"/>
    <x v="0"/>
    <s v="Ex-Employees"/>
    <x v="1"/>
    <x v="2"/>
    <x v="744"/>
    <x v="744"/>
    <x v="0"/>
    <x v="4"/>
    <x v="1"/>
    <s v="No"/>
    <s v="Y"/>
    <n v="2"/>
    <n v="-2"/>
    <n v="0"/>
    <n v="37"/>
    <n v="1"/>
    <n v="1"/>
    <n v="1"/>
    <n v="0"/>
    <n v="1141"/>
    <n v="11"/>
    <x v="0"/>
    <n v="1"/>
    <n v="1"/>
    <n v="61"/>
    <n v="1"/>
    <n v="2"/>
    <n v="3"/>
    <n v="4777"/>
    <n v="14382"/>
    <n v="5"/>
    <n v="15"/>
    <n v="3"/>
    <n v="1"/>
    <n v="80"/>
    <n v="0"/>
    <n v="15"/>
    <n v="1"/>
    <n v="1"/>
    <n v="0"/>
    <n v="0"/>
    <n v="0"/>
  </r>
  <r>
    <s v="No"/>
    <s v="Travel_Frequently"/>
    <x v="3"/>
    <s v="Current Employees"/>
    <x v="1"/>
    <x v="2"/>
    <x v="745"/>
    <x v="745"/>
    <x v="1"/>
    <x v="4"/>
    <x v="1"/>
    <s v="Yes"/>
    <s v="Y"/>
    <n v="3"/>
    <n v="-2"/>
    <n v="0"/>
    <n v="55"/>
    <n v="0"/>
    <m/>
    <n v="0"/>
    <n v="1"/>
    <n v="135"/>
    <n v="18"/>
    <x v="2"/>
    <n v="1"/>
    <n v="3"/>
    <n v="62"/>
    <n v="3"/>
    <n v="2"/>
    <n v="3"/>
    <n v="6385"/>
    <n v="12992"/>
    <n v="3"/>
    <n v="14"/>
    <n v="3"/>
    <n v="4"/>
    <n v="80"/>
    <n v="2"/>
    <n v="17"/>
    <n v="3"/>
    <n v="8"/>
    <n v="7"/>
    <n v="6"/>
    <n v="7"/>
  </r>
  <r>
    <s v="No"/>
    <s v="Non-Travel"/>
    <x v="0"/>
    <s v="Current Employees"/>
    <x v="1"/>
    <x v="0"/>
    <x v="746"/>
    <x v="746"/>
    <x v="0"/>
    <x v="7"/>
    <x v="2"/>
    <s v="No"/>
    <s v="Y"/>
    <n v="3"/>
    <n v="-2"/>
    <n v="0"/>
    <n v="41"/>
    <n v="0"/>
    <m/>
    <n v="0"/>
    <n v="1"/>
    <n v="247"/>
    <n v="7"/>
    <x v="1"/>
    <n v="1"/>
    <n v="2"/>
    <n v="55"/>
    <n v="1"/>
    <n v="5"/>
    <n v="1"/>
    <n v="19973"/>
    <n v="20284"/>
    <n v="1"/>
    <n v="22"/>
    <n v="4"/>
    <n v="2"/>
    <n v="80"/>
    <n v="2"/>
    <n v="21"/>
    <n v="3"/>
    <n v="21"/>
    <n v="16"/>
    <n v="5"/>
    <n v="10"/>
  </r>
  <r>
    <s v="No"/>
    <s v="Travel_Rarely"/>
    <x v="0"/>
    <s v="Current Employees"/>
    <x v="0"/>
    <x v="0"/>
    <x v="747"/>
    <x v="747"/>
    <x v="1"/>
    <x v="0"/>
    <x v="0"/>
    <s v="Yes"/>
    <s v="Y"/>
    <n v="1"/>
    <n v="-2"/>
    <n v="0"/>
    <n v="38"/>
    <n v="0"/>
    <m/>
    <n v="0"/>
    <n v="1"/>
    <n v="1035"/>
    <n v="3"/>
    <x v="2"/>
    <n v="1"/>
    <n v="2"/>
    <n v="42"/>
    <n v="3"/>
    <n v="2"/>
    <n v="1"/>
    <n v="6861"/>
    <n v="4981"/>
    <n v="8"/>
    <n v="12"/>
    <n v="3"/>
    <n v="3"/>
    <n v="80"/>
    <n v="0"/>
    <n v="19"/>
    <n v="3"/>
    <n v="1"/>
    <n v="0"/>
    <n v="0"/>
    <n v="0"/>
  </r>
  <r>
    <s v="Yes"/>
    <s v="Non-Travel"/>
    <x v="2"/>
    <s v="Ex-Employees"/>
    <x v="0"/>
    <x v="2"/>
    <x v="748"/>
    <x v="748"/>
    <x v="1"/>
    <x v="0"/>
    <x v="0"/>
    <s v="No"/>
    <s v="Y"/>
    <n v="6"/>
    <n v="-2"/>
    <n v="0"/>
    <n v="26"/>
    <n v="1"/>
    <n v="1"/>
    <n v="1"/>
    <n v="0"/>
    <n v="265"/>
    <n v="29"/>
    <x v="0"/>
    <n v="1"/>
    <n v="2"/>
    <n v="79"/>
    <n v="1"/>
    <n v="2"/>
    <n v="3"/>
    <n v="4969"/>
    <n v="21813"/>
    <n v="8"/>
    <n v="18"/>
    <n v="3"/>
    <n v="4"/>
    <n v="80"/>
    <n v="0"/>
    <n v="7"/>
    <n v="3"/>
    <n v="2"/>
    <n v="2"/>
    <n v="2"/>
    <n v="2"/>
  </r>
  <r>
    <s v="Yes"/>
    <s v="Travel_Rarely"/>
    <x v="1"/>
    <s v="Ex-Employees"/>
    <x v="0"/>
    <x v="3"/>
    <x v="749"/>
    <x v="749"/>
    <x v="0"/>
    <x v="5"/>
    <x v="1"/>
    <s v="No"/>
    <s v="Y"/>
    <n v="3"/>
    <n v="-2"/>
    <n v="0"/>
    <n v="52"/>
    <n v="1"/>
    <n v="1"/>
    <n v="1"/>
    <n v="0"/>
    <n v="266"/>
    <n v="2"/>
    <x v="1"/>
    <n v="1"/>
    <n v="1"/>
    <n v="57"/>
    <n v="1"/>
    <n v="5"/>
    <n v="2"/>
    <n v="19845"/>
    <n v="25846"/>
    <n v="1"/>
    <n v="15"/>
    <n v="3"/>
    <n v="4"/>
    <n v="80"/>
    <n v="1"/>
    <n v="33"/>
    <n v="3"/>
    <n v="32"/>
    <n v="14"/>
    <n v="6"/>
    <n v="9"/>
  </r>
  <r>
    <s v="No"/>
    <s v="Travel_Rarely"/>
    <x v="0"/>
    <s v="Current Employees"/>
    <x v="0"/>
    <x v="2"/>
    <x v="750"/>
    <x v="750"/>
    <x v="0"/>
    <x v="0"/>
    <x v="1"/>
    <s v="Yes"/>
    <s v="Y"/>
    <n v="2"/>
    <n v="-2"/>
    <n v="0"/>
    <n v="44"/>
    <n v="0"/>
    <m/>
    <n v="0"/>
    <n v="1"/>
    <n v="1448"/>
    <n v="28"/>
    <x v="3"/>
    <n v="1"/>
    <n v="4"/>
    <n v="53"/>
    <n v="4"/>
    <n v="4"/>
    <n v="4"/>
    <n v="13320"/>
    <n v="11737"/>
    <n v="3"/>
    <n v="18"/>
    <n v="3"/>
    <n v="3"/>
    <n v="80"/>
    <n v="1"/>
    <n v="23"/>
    <n v="3"/>
    <n v="12"/>
    <n v="11"/>
    <n v="11"/>
    <n v="11"/>
  </r>
  <r>
    <s v="No"/>
    <s v="Non-Travel"/>
    <x v="1"/>
    <s v="Current Employees"/>
    <x v="0"/>
    <x v="0"/>
    <x v="751"/>
    <x v="751"/>
    <x v="0"/>
    <x v="0"/>
    <x v="1"/>
    <s v="No"/>
    <s v="Y"/>
    <n v="3"/>
    <n v="-2"/>
    <n v="0"/>
    <n v="50"/>
    <n v="0"/>
    <m/>
    <n v="0"/>
    <n v="1"/>
    <n v="145"/>
    <n v="1"/>
    <x v="3"/>
    <n v="1"/>
    <n v="4"/>
    <n v="95"/>
    <n v="3"/>
    <n v="2"/>
    <n v="1"/>
    <n v="6347"/>
    <n v="24920"/>
    <n v="0"/>
    <n v="12"/>
    <n v="3"/>
    <n v="1"/>
    <n v="80"/>
    <n v="1"/>
    <n v="19"/>
    <n v="3"/>
    <n v="18"/>
    <n v="7"/>
    <n v="0"/>
    <n v="13"/>
  </r>
  <r>
    <s v="Yes"/>
    <s v="Travel_Rarely"/>
    <x v="0"/>
    <s v="Ex-Employees"/>
    <x v="1"/>
    <x v="0"/>
    <x v="752"/>
    <x v="752"/>
    <x v="0"/>
    <x v="2"/>
    <x v="0"/>
    <s v="No"/>
    <s v="Y"/>
    <n v="1"/>
    <n v="-2"/>
    <n v="0"/>
    <n v="36"/>
    <n v="1"/>
    <n v="1"/>
    <n v="1"/>
    <n v="0"/>
    <n v="885"/>
    <n v="16"/>
    <x v="2"/>
    <n v="1"/>
    <n v="3"/>
    <n v="43"/>
    <n v="4"/>
    <n v="1"/>
    <n v="1"/>
    <n v="2743"/>
    <n v="8269"/>
    <n v="1"/>
    <n v="16"/>
    <n v="3"/>
    <n v="3"/>
    <n v="80"/>
    <n v="0"/>
    <n v="18"/>
    <n v="3"/>
    <n v="17"/>
    <n v="13"/>
    <n v="15"/>
    <n v="14"/>
  </r>
  <r>
    <s v="No"/>
    <s v="Travel_Frequently"/>
    <x v="0"/>
    <s v="Current Employees"/>
    <x v="1"/>
    <x v="2"/>
    <x v="753"/>
    <x v="753"/>
    <x v="0"/>
    <x v="3"/>
    <x v="0"/>
    <s v="Yes"/>
    <s v="Y"/>
    <n v="2"/>
    <n v="-2"/>
    <n v="0"/>
    <n v="39"/>
    <n v="0"/>
    <m/>
    <n v="0"/>
    <n v="1"/>
    <n v="945"/>
    <n v="22"/>
    <x v="3"/>
    <n v="1"/>
    <n v="4"/>
    <n v="82"/>
    <n v="3"/>
    <n v="3"/>
    <n v="3"/>
    <n v="10880"/>
    <n v="5083"/>
    <n v="1"/>
    <n v="13"/>
    <n v="3"/>
    <n v="3"/>
    <n v="80"/>
    <n v="0"/>
    <n v="21"/>
    <n v="3"/>
    <n v="21"/>
    <n v="6"/>
    <n v="2"/>
    <n v="8"/>
  </r>
  <r>
    <s v="No"/>
    <s v="Non-Travel"/>
    <x v="2"/>
    <s v="Current Employees"/>
    <x v="0"/>
    <x v="0"/>
    <x v="754"/>
    <x v="754"/>
    <x v="0"/>
    <x v="6"/>
    <x v="0"/>
    <s v="No"/>
    <s v="Y"/>
    <n v="2"/>
    <n v="-2"/>
    <n v="0"/>
    <n v="33"/>
    <n v="0"/>
    <m/>
    <n v="0"/>
    <n v="1"/>
    <n v="1038"/>
    <n v="8"/>
    <x v="1"/>
    <n v="1"/>
    <n v="2"/>
    <n v="88"/>
    <n v="2"/>
    <n v="1"/>
    <n v="1"/>
    <n v="2342"/>
    <n v="21437"/>
    <n v="0"/>
    <n v="19"/>
    <n v="3"/>
    <n v="4"/>
    <n v="80"/>
    <n v="0"/>
    <n v="3"/>
    <n v="2"/>
    <n v="2"/>
    <n v="2"/>
    <n v="2"/>
    <n v="2"/>
  </r>
  <r>
    <s v="No"/>
    <s v="Travel_Rarely"/>
    <x v="1"/>
    <s v="Current Employees"/>
    <x v="0"/>
    <x v="0"/>
    <x v="755"/>
    <x v="755"/>
    <x v="0"/>
    <x v="5"/>
    <x v="1"/>
    <s v="No"/>
    <s v="Y"/>
    <n v="4"/>
    <n v="-2"/>
    <n v="0"/>
    <n v="45"/>
    <n v="0"/>
    <m/>
    <n v="0"/>
    <n v="1"/>
    <n v="1234"/>
    <n v="11"/>
    <x v="0"/>
    <n v="1"/>
    <n v="4"/>
    <n v="90"/>
    <n v="3"/>
    <n v="4"/>
    <n v="1"/>
    <n v="17650"/>
    <n v="5404"/>
    <n v="3"/>
    <n v="13"/>
    <n v="3"/>
    <n v="2"/>
    <n v="80"/>
    <n v="1"/>
    <n v="26"/>
    <n v="4"/>
    <n v="9"/>
    <n v="3"/>
    <n v="1"/>
    <n v="1"/>
  </r>
  <r>
    <s v="No"/>
    <s v="Non-Travel"/>
    <x v="2"/>
    <s v="Current Employees"/>
    <x v="1"/>
    <x v="2"/>
    <x v="756"/>
    <x v="756"/>
    <x v="0"/>
    <x v="2"/>
    <x v="0"/>
    <s v="No"/>
    <s v="Y"/>
    <n v="2"/>
    <n v="-2"/>
    <n v="0"/>
    <n v="32"/>
    <n v="0"/>
    <m/>
    <n v="0"/>
    <n v="1"/>
    <n v="1109"/>
    <n v="29"/>
    <x v="2"/>
    <n v="1"/>
    <n v="4"/>
    <n v="69"/>
    <n v="3"/>
    <n v="1"/>
    <n v="3"/>
    <n v="4025"/>
    <n v="11135"/>
    <n v="9"/>
    <n v="12"/>
    <n v="3"/>
    <n v="2"/>
    <n v="80"/>
    <n v="0"/>
    <n v="10"/>
    <n v="3"/>
    <n v="8"/>
    <n v="7"/>
    <n v="7"/>
    <n v="7"/>
  </r>
  <r>
    <s v="No"/>
    <s v="Travel_Rarely"/>
    <x v="2"/>
    <s v="Current Employees"/>
    <x v="0"/>
    <x v="3"/>
    <x v="757"/>
    <x v="757"/>
    <x v="1"/>
    <x v="0"/>
    <x v="2"/>
    <s v="No"/>
    <s v="Y"/>
    <n v="2"/>
    <n v="-2"/>
    <n v="0"/>
    <n v="34"/>
    <n v="0"/>
    <m/>
    <n v="0"/>
    <n v="1"/>
    <n v="216"/>
    <n v="1"/>
    <x v="2"/>
    <n v="1"/>
    <n v="2"/>
    <n v="75"/>
    <n v="4"/>
    <n v="2"/>
    <n v="2"/>
    <n v="9725"/>
    <n v="12278"/>
    <n v="0"/>
    <n v="11"/>
    <n v="3"/>
    <n v="4"/>
    <n v="80"/>
    <n v="1"/>
    <n v="16"/>
    <n v="2"/>
    <n v="15"/>
    <n v="1"/>
    <n v="0"/>
    <n v="9"/>
  </r>
  <r>
    <s v="No"/>
    <s v="Travel_Rarely"/>
    <x v="3"/>
    <s v="Current Employees"/>
    <x v="0"/>
    <x v="4"/>
    <x v="758"/>
    <x v="758"/>
    <x v="1"/>
    <x v="5"/>
    <x v="1"/>
    <s v="Yes"/>
    <s v="Y"/>
    <n v="1"/>
    <n v="-2"/>
    <n v="0"/>
    <n v="59"/>
    <n v="0"/>
    <m/>
    <n v="0"/>
    <n v="1"/>
    <n v="1089"/>
    <n v="1"/>
    <x v="0"/>
    <n v="1"/>
    <n v="4"/>
    <n v="66"/>
    <n v="3"/>
    <n v="3"/>
    <n v="4"/>
    <n v="11904"/>
    <n v="11038"/>
    <n v="3"/>
    <n v="14"/>
    <n v="3"/>
    <n v="3"/>
    <n v="80"/>
    <n v="1"/>
    <n v="14"/>
    <n v="1"/>
    <n v="6"/>
    <n v="4"/>
    <n v="0"/>
    <n v="4"/>
  </r>
  <r>
    <s v="No"/>
    <s v="Travel_Rarely"/>
    <x v="1"/>
    <s v="Current Employees"/>
    <x v="2"/>
    <x v="2"/>
    <x v="759"/>
    <x v="759"/>
    <x v="1"/>
    <x v="8"/>
    <x v="0"/>
    <s v="No"/>
    <s v="Y"/>
    <n v="3"/>
    <n v="-2"/>
    <n v="0"/>
    <n v="45"/>
    <n v="0"/>
    <m/>
    <n v="0"/>
    <n v="1"/>
    <n v="788"/>
    <n v="24"/>
    <x v="2"/>
    <n v="1"/>
    <n v="2"/>
    <n v="36"/>
    <n v="3"/>
    <n v="1"/>
    <n v="3"/>
    <n v="2177"/>
    <n v="8318"/>
    <n v="1"/>
    <n v="16"/>
    <n v="3"/>
    <n v="1"/>
    <n v="80"/>
    <n v="0"/>
    <n v="6"/>
    <n v="3"/>
    <n v="6"/>
    <n v="3"/>
    <n v="0"/>
    <n v="4"/>
  </r>
  <r>
    <s v="No"/>
    <s v="Travel_Frequently"/>
    <x v="1"/>
    <s v="Current Employees"/>
    <x v="0"/>
    <x v="3"/>
    <x v="760"/>
    <x v="760"/>
    <x v="0"/>
    <x v="0"/>
    <x v="1"/>
    <s v="No"/>
    <s v="Y"/>
    <n v="2"/>
    <n v="-2"/>
    <n v="0"/>
    <n v="53"/>
    <n v="0"/>
    <m/>
    <n v="0"/>
    <n v="1"/>
    <n v="124"/>
    <n v="2"/>
    <x v="3"/>
    <n v="1"/>
    <n v="3"/>
    <n v="38"/>
    <n v="2"/>
    <n v="3"/>
    <n v="2"/>
    <n v="7525"/>
    <n v="23537"/>
    <n v="2"/>
    <n v="12"/>
    <n v="3"/>
    <n v="1"/>
    <n v="80"/>
    <n v="1"/>
    <n v="30"/>
    <n v="3"/>
    <n v="15"/>
    <n v="7"/>
    <n v="6"/>
    <n v="12"/>
  </r>
  <r>
    <s v="Yes"/>
    <s v="Travel_Rarely"/>
    <x v="0"/>
    <s v="Ex-Employees"/>
    <x v="1"/>
    <x v="1"/>
    <x v="761"/>
    <x v="761"/>
    <x v="1"/>
    <x v="2"/>
    <x v="2"/>
    <s v="No"/>
    <s v="Y"/>
    <n v="3"/>
    <n v="-2"/>
    <n v="0"/>
    <n v="36"/>
    <n v="1"/>
    <n v="1"/>
    <n v="1"/>
    <n v="0"/>
    <n v="660"/>
    <n v="15"/>
    <x v="3"/>
    <n v="1"/>
    <n v="1"/>
    <n v="81"/>
    <n v="3"/>
    <n v="2"/>
    <n v="3"/>
    <n v="4834"/>
    <n v="7858"/>
    <n v="7"/>
    <n v="14"/>
    <n v="3"/>
    <n v="2"/>
    <n v="80"/>
    <n v="1"/>
    <n v="9"/>
    <n v="2"/>
    <n v="1"/>
    <n v="0"/>
    <n v="0"/>
    <n v="0"/>
  </r>
  <r>
    <s v="Yes"/>
    <s v="Travel_Frequently"/>
    <x v="2"/>
    <s v="Ex-Employees"/>
    <x v="1"/>
    <x v="0"/>
    <x v="762"/>
    <x v="762"/>
    <x v="1"/>
    <x v="1"/>
    <x v="1"/>
    <s v="Yes"/>
    <s v="Y"/>
    <n v="2"/>
    <n v="-2"/>
    <n v="0"/>
    <n v="26"/>
    <n v="1"/>
    <n v="1"/>
    <n v="1"/>
    <n v="0"/>
    <n v="342"/>
    <n v="2"/>
    <x v="3"/>
    <n v="1"/>
    <n v="1"/>
    <n v="57"/>
    <n v="3"/>
    <n v="1"/>
    <n v="1"/>
    <n v="2042"/>
    <n v="15346"/>
    <n v="6"/>
    <n v="14"/>
    <n v="3"/>
    <n v="2"/>
    <n v="80"/>
    <n v="1"/>
    <n v="6"/>
    <n v="3"/>
    <n v="3"/>
    <n v="2"/>
    <n v="1"/>
    <n v="2"/>
  </r>
  <r>
    <s v="No"/>
    <s v="Travel_Rarely"/>
    <x v="2"/>
    <s v="Current Employees"/>
    <x v="0"/>
    <x v="0"/>
    <x v="763"/>
    <x v="763"/>
    <x v="0"/>
    <x v="6"/>
    <x v="1"/>
    <s v="Yes"/>
    <s v="Y"/>
    <n v="2"/>
    <n v="-2"/>
    <n v="0"/>
    <n v="34"/>
    <n v="0"/>
    <m/>
    <n v="0"/>
    <n v="1"/>
    <n v="1333"/>
    <n v="10"/>
    <x v="2"/>
    <n v="1"/>
    <n v="3"/>
    <n v="87"/>
    <n v="3"/>
    <n v="1"/>
    <n v="1"/>
    <n v="2220"/>
    <n v="18410"/>
    <n v="1"/>
    <n v="19"/>
    <n v="3"/>
    <n v="4"/>
    <n v="80"/>
    <n v="1"/>
    <n v="1"/>
    <n v="3"/>
    <n v="1"/>
    <n v="1"/>
    <n v="0"/>
    <n v="0"/>
  </r>
  <r>
    <s v="No"/>
    <s v="Travel_Rarely"/>
    <x v="2"/>
    <s v="Current Employees"/>
    <x v="0"/>
    <x v="2"/>
    <x v="764"/>
    <x v="764"/>
    <x v="1"/>
    <x v="6"/>
    <x v="1"/>
    <s v="No"/>
    <s v="Y"/>
    <n v="5"/>
    <n v="-2"/>
    <n v="0"/>
    <n v="28"/>
    <n v="0"/>
    <m/>
    <n v="0"/>
    <n v="1"/>
    <n v="1144"/>
    <n v="10"/>
    <x v="1"/>
    <n v="1"/>
    <n v="4"/>
    <n v="74"/>
    <n v="3"/>
    <n v="1"/>
    <n v="3"/>
    <n v="1052"/>
    <n v="23384"/>
    <n v="1"/>
    <n v="22"/>
    <n v="4"/>
    <n v="2"/>
    <n v="80"/>
    <n v="0"/>
    <n v="1"/>
    <n v="3"/>
    <n v="1"/>
    <n v="0"/>
    <n v="0"/>
    <n v="0"/>
  </r>
  <r>
    <s v="No"/>
    <s v="Travel_Frequently"/>
    <x v="0"/>
    <s v="Current Employees"/>
    <x v="1"/>
    <x v="1"/>
    <x v="765"/>
    <x v="765"/>
    <x v="1"/>
    <x v="1"/>
    <x v="1"/>
    <s v="No"/>
    <s v="Y"/>
    <n v="2"/>
    <n v="-2"/>
    <n v="0"/>
    <n v="38"/>
    <n v="0"/>
    <m/>
    <n v="0"/>
    <n v="1"/>
    <n v="1186"/>
    <n v="3"/>
    <x v="2"/>
    <n v="1"/>
    <n v="3"/>
    <n v="44"/>
    <n v="3"/>
    <n v="1"/>
    <n v="3"/>
    <n v="2821"/>
    <n v="2997"/>
    <n v="3"/>
    <n v="16"/>
    <n v="3"/>
    <n v="1"/>
    <n v="80"/>
    <n v="1"/>
    <n v="8"/>
    <n v="3"/>
    <n v="2"/>
    <n v="2"/>
    <n v="2"/>
    <n v="2"/>
  </r>
  <r>
    <s v="No"/>
    <s v="Travel_Rarely"/>
    <x v="1"/>
    <s v="Current Employees"/>
    <x v="1"/>
    <x v="2"/>
    <x v="766"/>
    <x v="766"/>
    <x v="1"/>
    <x v="7"/>
    <x v="1"/>
    <s v="Yes"/>
    <s v="Y"/>
    <n v="2"/>
    <n v="-2"/>
    <n v="0"/>
    <n v="50"/>
    <n v="0"/>
    <m/>
    <n v="0"/>
    <n v="1"/>
    <n v="1464"/>
    <n v="2"/>
    <x v="2"/>
    <n v="1"/>
    <n v="2"/>
    <n v="62"/>
    <n v="3"/>
    <n v="5"/>
    <n v="3"/>
    <n v="19237"/>
    <n v="12853"/>
    <n v="2"/>
    <n v="11"/>
    <n v="3"/>
    <n v="4"/>
    <n v="80"/>
    <n v="1"/>
    <n v="29"/>
    <n v="2"/>
    <n v="8"/>
    <n v="1"/>
    <n v="7"/>
    <n v="7"/>
  </r>
  <r>
    <s v="No"/>
    <s v="Travel_Rarely"/>
    <x v="0"/>
    <s v="Current Employees"/>
    <x v="1"/>
    <x v="1"/>
    <x v="767"/>
    <x v="767"/>
    <x v="0"/>
    <x v="4"/>
    <x v="0"/>
    <s v="No"/>
    <s v="Y"/>
    <n v="3"/>
    <n v="-2"/>
    <n v="0"/>
    <n v="37"/>
    <n v="0"/>
    <m/>
    <n v="0"/>
    <n v="1"/>
    <n v="124"/>
    <n v="3"/>
    <x v="3"/>
    <n v="1"/>
    <n v="4"/>
    <n v="35"/>
    <n v="3"/>
    <n v="2"/>
    <n v="3"/>
    <n v="4107"/>
    <n v="13848"/>
    <n v="3"/>
    <n v="15"/>
    <n v="3"/>
    <n v="1"/>
    <n v="80"/>
    <n v="0"/>
    <n v="8"/>
    <n v="2"/>
    <n v="4"/>
    <n v="3"/>
    <n v="0"/>
    <n v="1"/>
  </r>
  <r>
    <s v="No"/>
    <s v="Travel_Rarely"/>
    <x v="0"/>
    <s v="Current Employees"/>
    <x v="0"/>
    <x v="3"/>
    <x v="768"/>
    <x v="768"/>
    <x v="1"/>
    <x v="0"/>
    <x v="1"/>
    <s v="No"/>
    <s v="Y"/>
    <n v="3"/>
    <n v="-2"/>
    <n v="0"/>
    <n v="40"/>
    <n v="0"/>
    <m/>
    <n v="0"/>
    <n v="1"/>
    <n v="300"/>
    <n v="26"/>
    <x v="3"/>
    <n v="1"/>
    <n v="3"/>
    <n v="74"/>
    <n v="3"/>
    <n v="2"/>
    <n v="2"/>
    <n v="8396"/>
    <n v="22217"/>
    <n v="1"/>
    <n v="14"/>
    <n v="3"/>
    <n v="2"/>
    <n v="80"/>
    <n v="1"/>
    <n v="8"/>
    <n v="2"/>
    <n v="7"/>
    <n v="7"/>
    <n v="7"/>
    <n v="5"/>
  </r>
  <r>
    <s v="No"/>
    <s v="Travel_Frequently"/>
    <x v="2"/>
    <s v="Current Employees"/>
    <x v="1"/>
    <x v="2"/>
    <x v="769"/>
    <x v="769"/>
    <x v="0"/>
    <x v="1"/>
    <x v="2"/>
    <s v="No"/>
    <s v="Y"/>
    <n v="5"/>
    <n v="-2"/>
    <n v="0"/>
    <n v="26"/>
    <n v="0"/>
    <m/>
    <n v="0"/>
    <n v="1"/>
    <n v="921"/>
    <n v="1"/>
    <x v="1"/>
    <n v="1"/>
    <n v="1"/>
    <n v="66"/>
    <n v="2"/>
    <n v="1"/>
    <n v="3"/>
    <n v="2007"/>
    <n v="25265"/>
    <n v="1"/>
    <n v="13"/>
    <n v="3"/>
    <n v="3"/>
    <n v="80"/>
    <n v="2"/>
    <n v="5"/>
    <n v="3"/>
    <n v="5"/>
    <n v="3"/>
    <n v="1"/>
    <n v="3"/>
  </r>
  <r>
    <s v="No"/>
    <s v="Travel_Rarely"/>
    <x v="1"/>
    <s v="Current Employees"/>
    <x v="1"/>
    <x v="2"/>
    <x v="770"/>
    <x v="770"/>
    <x v="1"/>
    <x v="7"/>
    <x v="2"/>
    <s v="No"/>
    <s v="Y"/>
    <n v="0"/>
    <n v="-2"/>
    <n v="0"/>
    <n v="46"/>
    <n v="0"/>
    <m/>
    <n v="0"/>
    <n v="1"/>
    <n v="430"/>
    <n v="1"/>
    <x v="2"/>
    <n v="1"/>
    <n v="4"/>
    <n v="40"/>
    <n v="3"/>
    <n v="5"/>
    <n v="4"/>
    <n v="19627"/>
    <n v="21445"/>
    <n v="9"/>
    <n v="17"/>
    <n v="3"/>
    <n v="4"/>
    <n v="80"/>
    <n v="2"/>
    <n v="23"/>
    <n v="3"/>
    <n v="2"/>
    <n v="2"/>
    <n v="2"/>
    <n v="2"/>
  </r>
  <r>
    <s v="No"/>
    <s v="Travel_Rarely"/>
    <x v="1"/>
    <s v="Current Employees"/>
    <x v="0"/>
    <x v="0"/>
    <x v="771"/>
    <x v="771"/>
    <x v="0"/>
    <x v="0"/>
    <x v="1"/>
    <s v="No"/>
    <s v="Y"/>
    <n v="4"/>
    <n v="-2"/>
    <n v="0"/>
    <n v="54"/>
    <n v="0"/>
    <m/>
    <n v="0"/>
    <n v="1"/>
    <n v="1082"/>
    <n v="2"/>
    <x v="2"/>
    <n v="1"/>
    <n v="3"/>
    <n v="41"/>
    <n v="2"/>
    <n v="3"/>
    <n v="1"/>
    <n v="10686"/>
    <n v="8392"/>
    <n v="6"/>
    <n v="11"/>
    <n v="3"/>
    <n v="2"/>
    <n v="80"/>
    <n v="1"/>
    <n v="13"/>
    <n v="3"/>
    <n v="9"/>
    <n v="4"/>
    <n v="7"/>
    <n v="0"/>
  </r>
  <r>
    <s v="No"/>
    <s v="Travel_Frequently"/>
    <x v="3"/>
    <s v="Current Employees"/>
    <x v="1"/>
    <x v="2"/>
    <x v="772"/>
    <x v="772"/>
    <x v="0"/>
    <x v="1"/>
    <x v="1"/>
    <s v="No"/>
    <s v="Y"/>
    <n v="4"/>
    <n v="-2"/>
    <n v="0"/>
    <n v="56"/>
    <n v="0"/>
    <m/>
    <n v="0"/>
    <n v="1"/>
    <n v="1240"/>
    <n v="9"/>
    <x v="3"/>
    <n v="1"/>
    <n v="1"/>
    <n v="63"/>
    <n v="3"/>
    <n v="1"/>
    <n v="3"/>
    <n v="2942"/>
    <n v="12154"/>
    <n v="2"/>
    <n v="19"/>
    <n v="3"/>
    <n v="2"/>
    <n v="80"/>
    <n v="1"/>
    <n v="18"/>
    <n v="3"/>
    <n v="5"/>
    <n v="4"/>
    <n v="0"/>
    <n v="3"/>
  </r>
  <r>
    <s v="No"/>
    <s v="Travel_Rarely"/>
    <x v="0"/>
    <s v="Current Employees"/>
    <x v="1"/>
    <x v="2"/>
    <x v="773"/>
    <x v="773"/>
    <x v="0"/>
    <x v="3"/>
    <x v="0"/>
    <s v="No"/>
    <s v="Y"/>
    <n v="2"/>
    <n v="-2"/>
    <n v="0"/>
    <n v="36"/>
    <n v="0"/>
    <m/>
    <n v="0"/>
    <n v="1"/>
    <n v="796"/>
    <n v="12"/>
    <x v="4"/>
    <n v="1"/>
    <n v="4"/>
    <n v="51"/>
    <n v="2"/>
    <n v="3"/>
    <n v="4"/>
    <n v="8858"/>
    <n v="15669"/>
    <n v="0"/>
    <n v="11"/>
    <n v="3"/>
    <n v="2"/>
    <n v="80"/>
    <n v="0"/>
    <n v="15"/>
    <n v="2"/>
    <n v="14"/>
    <n v="8"/>
    <n v="7"/>
    <n v="8"/>
  </r>
  <r>
    <s v="No"/>
    <s v="Non-Travel"/>
    <x v="3"/>
    <s v="Current Employees"/>
    <x v="1"/>
    <x v="2"/>
    <x v="774"/>
    <x v="774"/>
    <x v="1"/>
    <x v="5"/>
    <x v="0"/>
    <s v="No"/>
    <s v="Y"/>
    <n v="3"/>
    <n v="-2"/>
    <n v="0"/>
    <n v="55"/>
    <n v="0"/>
    <m/>
    <n v="0"/>
    <n v="1"/>
    <n v="444"/>
    <n v="2"/>
    <x v="1"/>
    <n v="1"/>
    <n v="3"/>
    <n v="40"/>
    <n v="2"/>
    <n v="4"/>
    <n v="3"/>
    <n v="16756"/>
    <n v="17323"/>
    <n v="7"/>
    <n v="15"/>
    <n v="3"/>
    <n v="2"/>
    <n v="80"/>
    <n v="0"/>
    <n v="31"/>
    <n v="4"/>
    <n v="9"/>
    <n v="7"/>
    <n v="6"/>
    <n v="2"/>
  </r>
  <r>
    <s v="No"/>
    <s v="Travel_Rarely"/>
    <x v="0"/>
    <s v="Current Employees"/>
    <x v="0"/>
    <x v="2"/>
    <x v="775"/>
    <x v="775"/>
    <x v="1"/>
    <x v="0"/>
    <x v="2"/>
    <s v="No"/>
    <s v="Y"/>
    <n v="5"/>
    <n v="-2"/>
    <n v="0"/>
    <n v="43"/>
    <n v="0"/>
    <m/>
    <n v="0"/>
    <n v="1"/>
    <n v="415"/>
    <n v="25"/>
    <x v="3"/>
    <n v="1"/>
    <n v="3"/>
    <n v="79"/>
    <n v="2"/>
    <n v="3"/>
    <n v="4"/>
    <n v="10798"/>
    <n v="5268"/>
    <n v="5"/>
    <n v="13"/>
    <n v="3"/>
    <n v="3"/>
    <n v="80"/>
    <n v="1"/>
    <n v="18"/>
    <n v="3"/>
    <n v="1"/>
    <n v="0"/>
    <n v="0"/>
    <n v="0"/>
  </r>
  <r>
    <s v="Yes"/>
    <s v="Travel_Frequently"/>
    <x v="4"/>
    <s v="Ex-Employees"/>
    <x v="0"/>
    <x v="3"/>
    <x v="776"/>
    <x v="776"/>
    <x v="0"/>
    <x v="6"/>
    <x v="0"/>
    <s v="Yes"/>
    <s v="Y"/>
    <n v="3"/>
    <n v="-2"/>
    <n v="0"/>
    <n v="20"/>
    <n v="1"/>
    <n v="1"/>
    <n v="1"/>
    <n v="0"/>
    <n v="769"/>
    <n v="9"/>
    <x v="3"/>
    <n v="1"/>
    <n v="4"/>
    <n v="54"/>
    <n v="3"/>
    <n v="1"/>
    <n v="2"/>
    <n v="2323"/>
    <n v="17205"/>
    <n v="1"/>
    <n v="14"/>
    <n v="3"/>
    <n v="2"/>
    <n v="80"/>
    <n v="0"/>
    <n v="2"/>
    <n v="3"/>
    <n v="2"/>
    <n v="2"/>
    <n v="0"/>
    <n v="2"/>
  </r>
  <r>
    <s v="Yes"/>
    <s v="Travel_Rarely"/>
    <x v="4"/>
    <s v="Ex-Employees"/>
    <x v="1"/>
    <x v="0"/>
    <x v="777"/>
    <x v="777"/>
    <x v="0"/>
    <x v="2"/>
    <x v="0"/>
    <s v="No"/>
    <s v="Y"/>
    <n v="6"/>
    <n v="-2"/>
    <n v="0"/>
    <n v="21"/>
    <n v="1"/>
    <n v="1"/>
    <n v="1"/>
    <n v="0"/>
    <n v="1334"/>
    <n v="10"/>
    <x v="3"/>
    <n v="1"/>
    <n v="3"/>
    <n v="36"/>
    <n v="2"/>
    <n v="1"/>
    <n v="1"/>
    <n v="1416"/>
    <n v="17258"/>
    <n v="1"/>
    <n v="13"/>
    <n v="3"/>
    <n v="1"/>
    <n v="80"/>
    <n v="0"/>
    <n v="1"/>
    <n v="2"/>
    <n v="1"/>
    <n v="0"/>
    <n v="1"/>
    <n v="0"/>
  </r>
  <r>
    <s v="No"/>
    <s v="Travel_Rarely"/>
    <x v="1"/>
    <s v="Current Employees"/>
    <x v="1"/>
    <x v="0"/>
    <x v="778"/>
    <x v="778"/>
    <x v="0"/>
    <x v="1"/>
    <x v="2"/>
    <s v="Yes"/>
    <s v="Y"/>
    <n v="2"/>
    <n v="-2"/>
    <n v="0"/>
    <n v="46"/>
    <n v="0"/>
    <m/>
    <n v="0"/>
    <n v="1"/>
    <n v="1003"/>
    <n v="8"/>
    <x v="2"/>
    <n v="1"/>
    <n v="4"/>
    <n v="74"/>
    <n v="2"/>
    <n v="2"/>
    <n v="1"/>
    <n v="4615"/>
    <n v="21029"/>
    <n v="8"/>
    <n v="23"/>
    <n v="4"/>
    <n v="1"/>
    <n v="80"/>
    <n v="3"/>
    <n v="19"/>
    <n v="3"/>
    <n v="16"/>
    <n v="13"/>
    <n v="1"/>
    <n v="7"/>
  </r>
  <r>
    <s v="Yes"/>
    <s v="Travel_Rarely"/>
    <x v="1"/>
    <s v="Ex-Employees"/>
    <x v="1"/>
    <x v="0"/>
    <x v="779"/>
    <x v="779"/>
    <x v="1"/>
    <x v="1"/>
    <x v="1"/>
    <s v="Yes"/>
    <s v="Y"/>
    <n v="2"/>
    <n v="-2"/>
    <n v="0"/>
    <n v="51"/>
    <n v="1"/>
    <n v="1"/>
    <n v="1"/>
    <n v="0"/>
    <n v="1323"/>
    <n v="4"/>
    <x v="2"/>
    <n v="1"/>
    <n v="1"/>
    <n v="34"/>
    <n v="3"/>
    <n v="1"/>
    <n v="1"/>
    <n v="2461"/>
    <n v="10332"/>
    <n v="9"/>
    <n v="12"/>
    <n v="3"/>
    <n v="3"/>
    <n v="80"/>
    <n v="3"/>
    <n v="18"/>
    <n v="4"/>
    <n v="10"/>
    <n v="0"/>
    <n v="2"/>
    <n v="7"/>
  </r>
  <r>
    <s v="Yes"/>
    <s v="Non-Travel"/>
    <x v="2"/>
    <s v="Ex-Employees"/>
    <x v="1"/>
    <x v="4"/>
    <x v="780"/>
    <x v="780"/>
    <x v="1"/>
    <x v="4"/>
    <x v="0"/>
    <s v="No"/>
    <s v="Y"/>
    <n v="2"/>
    <n v="-2"/>
    <n v="0"/>
    <n v="28"/>
    <n v="1"/>
    <n v="1"/>
    <n v="1"/>
    <n v="0"/>
    <n v="1366"/>
    <n v="24"/>
    <x v="0"/>
    <n v="1"/>
    <n v="4"/>
    <n v="72"/>
    <n v="2"/>
    <n v="3"/>
    <n v="4"/>
    <n v="8722"/>
    <n v="12355"/>
    <n v="1"/>
    <n v="12"/>
    <n v="3"/>
    <n v="1"/>
    <n v="80"/>
    <n v="0"/>
    <n v="10"/>
    <n v="2"/>
    <n v="10"/>
    <n v="7"/>
    <n v="1"/>
    <n v="9"/>
  </r>
  <r>
    <s v="No"/>
    <s v="Travel_Rarely"/>
    <x v="2"/>
    <s v="Current Employees"/>
    <x v="1"/>
    <x v="2"/>
    <x v="781"/>
    <x v="781"/>
    <x v="1"/>
    <x v="2"/>
    <x v="1"/>
    <s v="No"/>
    <s v="Y"/>
    <n v="2"/>
    <n v="-2"/>
    <n v="0"/>
    <n v="26"/>
    <n v="0"/>
    <m/>
    <n v="0"/>
    <n v="1"/>
    <n v="192"/>
    <n v="1"/>
    <x v="0"/>
    <n v="1"/>
    <n v="1"/>
    <n v="59"/>
    <n v="2"/>
    <n v="1"/>
    <n v="3"/>
    <n v="3955"/>
    <n v="11141"/>
    <n v="1"/>
    <n v="16"/>
    <n v="3"/>
    <n v="1"/>
    <n v="80"/>
    <n v="2"/>
    <n v="6"/>
    <n v="3"/>
    <n v="5"/>
    <n v="3"/>
    <n v="1"/>
    <n v="3"/>
  </r>
  <r>
    <s v="No"/>
    <s v="Travel_Rarely"/>
    <x v="2"/>
    <s v="Current Employees"/>
    <x v="1"/>
    <x v="1"/>
    <x v="782"/>
    <x v="782"/>
    <x v="1"/>
    <x v="3"/>
    <x v="1"/>
    <s v="No"/>
    <s v="Y"/>
    <n v="1"/>
    <n v="-2"/>
    <n v="0"/>
    <n v="30"/>
    <n v="0"/>
    <m/>
    <n v="0"/>
    <n v="1"/>
    <n v="1176"/>
    <n v="20"/>
    <x v="3"/>
    <n v="1"/>
    <n v="3"/>
    <n v="85"/>
    <n v="3"/>
    <n v="2"/>
    <n v="3"/>
    <n v="9957"/>
    <n v="9096"/>
    <n v="0"/>
    <n v="15"/>
    <n v="3"/>
    <n v="3"/>
    <n v="80"/>
    <n v="1"/>
    <n v="7"/>
    <n v="2"/>
    <n v="6"/>
    <n v="2"/>
    <n v="0"/>
    <n v="2"/>
  </r>
  <r>
    <s v="No"/>
    <s v="Travel_Rarely"/>
    <x v="0"/>
    <s v="Current Employees"/>
    <x v="1"/>
    <x v="4"/>
    <x v="783"/>
    <x v="783"/>
    <x v="0"/>
    <x v="1"/>
    <x v="1"/>
    <s v="No"/>
    <s v="Y"/>
    <n v="3"/>
    <n v="-2"/>
    <n v="0"/>
    <n v="41"/>
    <n v="0"/>
    <m/>
    <n v="0"/>
    <n v="1"/>
    <n v="509"/>
    <n v="7"/>
    <x v="0"/>
    <n v="1"/>
    <n v="4"/>
    <n v="43"/>
    <n v="4"/>
    <n v="1"/>
    <n v="4"/>
    <n v="3376"/>
    <n v="18863"/>
    <n v="1"/>
    <n v="13"/>
    <n v="3"/>
    <n v="3"/>
    <n v="80"/>
    <n v="0"/>
    <n v="10"/>
    <n v="3"/>
    <n v="10"/>
    <n v="6"/>
    <n v="0"/>
    <n v="8"/>
  </r>
  <r>
    <s v="No"/>
    <s v="Travel_Rarely"/>
    <x v="0"/>
    <s v="Current Employees"/>
    <x v="1"/>
    <x v="0"/>
    <x v="784"/>
    <x v="784"/>
    <x v="0"/>
    <x v="4"/>
    <x v="1"/>
    <s v="No"/>
    <s v="Y"/>
    <n v="4"/>
    <n v="-2"/>
    <n v="0"/>
    <n v="38"/>
    <n v="0"/>
    <m/>
    <n v="0"/>
    <n v="1"/>
    <n v="330"/>
    <n v="17"/>
    <x v="1"/>
    <n v="1"/>
    <n v="3"/>
    <n v="65"/>
    <n v="2"/>
    <n v="3"/>
    <n v="1"/>
    <n v="8823"/>
    <n v="24608"/>
    <n v="0"/>
    <n v="18"/>
    <n v="3"/>
    <n v="1"/>
    <n v="80"/>
    <n v="1"/>
    <n v="20"/>
    <n v="2"/>
    <n v="19"/>
    <n v="9"/>
    <n v="1"/>
    <n v="9"/>
  </r>
  <r>
    <s v="No"/>
    <s v="Travel_Rarely"/>
    <x v="0"/>
    <s v="Current Employees"/>
    <x v="1"/>
    <x v="4"/>
    <x v="785"/>
    <x v="785"/>
    <x v="1"/>
    <x v="4"/>
    <x v="1"/>
    <s v="No"/>
    <s v="Y"/>
    <n v="6"/>
    <n v="-2"/>
    <n v="0"/>
    <n v="40"/>
    <n v="0"/>
    <m/>
    <n v="0"/>
    <n v="1"/>
    <n v="1492"/>
    <n v="20"/>
    <x v="2"/>
    <n v="1"/>
    <n v="4"/>
    <n v="61"/>
    <n v="3"/>
    <n v="3"/>
    <n v="4"/>
    <n v="10322"/>
    <n v="26542"/>
    <n v="4"/>
    <n v="20"/>
    <n v="4"/>
    <n v="4"/>
    <n v="80"/>
    <n v="1"/>
    <n v="14"/>
    <n v="3"/>
    <n v="11"/>
    <n v="10"/>
    <n v="11"/>
    <n v="1"/>
  </r>
  <r>
    <s v="No"/>
    <s v="Non-Travel"/>
    <x v="2"/>
    <s v="Current Employees"/>
    <x v="1"/>
    <x v="0"/>
    <x v="786"/>
    <x v="786"/>
    <x v="1"/>
    <x v="2"/>
    <x v="1"/>
    <s v="No"/>
    <s v="Y"/>
    <n v="4"/>
    <n v="-2"/>
    <n v="0"/>
    <n v="27"/>
    <n v="0"/>
    <m/>
    <n v="0"/>
    <n v="1"/>
    <n v="1277"/>
    <n v="8"/>
    <x v="4"/>
    <n v="1"/>
    <n v="1"/>
    <n v="87"/>
    <n v="1"/>
    <n v="1"/>
    <n v="1"/>
    <n v="4621"/>
    <n v="5869"/>
    <n v="1"/>
    <n v="19"/>
    <n v="3"/>
    <n v="4"/>
    <n v="80"/>
    <n v="3"/>
    <n v="3"/>
    <n v="3"/>
    <n v="3"/>
    <n v="2"/>
    <n v="1"/>
    <n v="2"/>
  </r>
  <r>
    <s v="No"/>
    <s v="Travel_Frequently"/>
    <x v="3"/>
    <s v="Current Employees"/>
    <x v="1"/>
    <x v="0"/>
    <x v="787"/>
    <x v="787"/>
    <x v="1"/>
    <x v="3"/>
    <x v="1"/>
    <s v="No"/>
    <s v="Y"/>
    <n v="4"/>
    <n v="-2"/>
    <n v="0"/>
    <n v="55"/>
    <n v="0"/>
    <m/>
    <n v="0"/>
    <n v="1"/>
    <n v="1091"/>
    <n v="2"/>
    <x v="1"/>
    <n v="1"/>
    <n v="4"/>
    <n v="65"/>
    <n v="3"/>
    <n v="3"/>
    <n v="1"/>
    <n v="10976"/>
    <n v="15813"/>
    <n v="3"/>
    <n v="18"/>
    <n v="3"/>
    <n v="2"/>
    <n v="80"/>
    <n v="1"/>
    <n v="23"/>
    <n v="3"/>
    <n v="3"/>
    <n v="2"/>
    <n v="1"/>
    <n v="2"/>
  </r>
  <r>
    <s v="No"/>
    <s v="Travel_Rarely"/>
    <x v="2"/>
    <s v="Current Employees"/>
    <x v="1"/>
    <x v="1"/>
    <x v="788"/>
    <x v="788"/>
    <x v="0"/>
    <x v="1"/>
    <x v="0"/>
    <s v="No"/>
    <s v="Y"/>
    <n v="4"/>
    <n v="-2"/>
    <n v="0"/>
    <n v="28"/>
    <n v="0"/>
    <m/>
    <n v="0"/>
    <n v="1"/>
    <n v="857"/>
    <n v="10"/>
    <x v="3"/>
    <n v="1"/>
    <n v="3"/>
    <n v="59"/>
    <n v="3"/>
    <n v="2"/>
    <n v="3"/>
    <n v="3660"/>
    <n v="7909"/>
    <n v="3"/>
    <n v="13"/>
    <n v="3"/>
    <n v="4"/>
    <n v="80"/>
    <n v="0"/>
    <n v="10"/>
    <n v="4"/>
    <n v="8"/>
    <n v="7"/>
    <n v="1"/>
    <n v="7"/>
  </r>
  <r>
    <s v="Yes"/>
    <s v="Travel_Rarely"/>
    <x v="0"/>
    <s v="Ex-Employees"/>
    <x v="2"/>
    <x v="2"/>
    <x v="789"/>
    <x v="789"/>
    <x v="1"/>
    <x v="8"/>
    <x v="1"/>
    <s v="No"/>
    <s v="Y"/>
    <n v="1"/>
    <n v="-2"/>
    <n v="0"/>
    <n v="44"/>
    <n v="1"/>
    <n v="1"/>
    <n v="1"/>
    <n v="0"/>
    <n v="1376"/>
    <n v="1"/>
    <x v="0"/>
    <n v="1"/>
    <n v="2"/>
    <n v="91"/>
    <n v="2"/>
    <n v="3"/>
    <n v="3"/>
    <n v="10482"/>
    <n v="2326"/>
    <n v="9"/>
    <n v="14"/>
    <n v="3"/>
    <n v="4"/>
    <n v="80"/>
    <n v="1"/>
    <n v="24"/>
    <n v="3"/>
    <n v="20"/>
    <n v="6"/>
    <n v="3"/>
    <n v="6"/>
  </r>
  <r>
    <s v="No"/>
    <s v="Travel_Rarely"/>
    <x v="2"/>
    <s v="Current Employees"/>
    <x v="1"/>
    <x v="0"/>
    <x v="790"/>
    <x v="790"/>
    <x v="1"/>
    <x v="4"/>
    <x v="2"/>
    <s v="No"/>
    <s v="Y"/>
    <n v="2"/>
    <n v="-2"/>
    <n v="0"/>
    <n v="33"/>
    <n v="0"/>
    <m/>
    <n v="0"/>
    <n v="1"/>
    <n v="654"/>
    <n v="5"/>
    <x v="3"/>
    <n v="1"/>
    <n v="4"/>
    <n v="34"/>
    <n v="2"/>
    <n v="3"/>
    <n v="1"/>
    <n v="7119"/>
    <n v="21214"/>
    <n v="4"/>
    <n v="15"/>
    <n v="3"/>
    <n v="3"/>
    <n v="80"/>
    <n v="1"/>
    <n v="9"/>
    <n v="3"/>
    <n v="3"/>
    <n v="2"/>
    <n v="1"/>
    <n v="2"/>
  </r>
  <r>
    <s v="Yes"/>
    <s v="Travel_Rarely"/>
    <x v="0"/>
    <s v="Ex-Employees"/>
    <x v="0"/>
    <x v="4"/>
    <x v="791"/>
    <x v="791"/>
    <x v="1"/>
    <x v="0"/>
    <x v="0"/>
    <s v="Yes"/>
    <s v="Y"/>
    <n v="2"/>
    <n v="-2"/>
    <n v="0"/>
    <n v="35"/>
    <n v="1"/>
    <n v="1"/>
    <n v="1"/>
    <n v="0"/>
    <n v="1204"/>
    <n v="4"/>
    <x v="3"/>
    <n v="1"/>
    <n v="4"/>
    <n v="86"/>
    <n v="3"/>
    <n v="3"/>
    <n v="4"/>
    <n v="9582"/>
    <n v="10333"/>
    <n v="0"/>
    <n v="22"/>
    <n v="4"/>
    <n v="1"/>
    <n v="80"/>
    <n v="0"/>
    <n v="9"/>
    <n v="3"/>
    <n v="8"/>
    <n v="7"/>
    <n v="4"/>
    <n v="7"/>
  </r>
  <r>
    <s v="Yes"/>
    <s v="Travel_Frequently"/>
    <x v="2"/>
    <s v="Ex-Employees"/>
    <x v="1"/>
    <x v="2"/>
    <x v="792"/>
    <x v="792"/>
    <x v="0"/>
    <x v="1"/>
    <x v="0"/>
    <s v="No"/>
    <s v="Y"/>
    <n v="4"/>
    <n v="-2"/>
    <n v="0"/>
    <n v="33"/>
    <n v="1"/>
    <n v="1"/>
    <n v="1"/>
    <n v="0"/>
    <n v="827"/>
    <n v="29"/>
    <x v="2"/>
    <n v="1"/>
    <n v="1"/>
    <n v="54"/>
    <n v="2"/>
    <n v="2"/>
    <n v="3"/>
    <n v="4508"/>
    <n v="3129"/>
    <n v="1"/>
    <n v="22"/>
    <n v="4"/>
    <n v="2"/>
    <n v="80"/>
    <n v="0"/>
    <n v="14"/>
    <n v="3"/>
    <n v="13"/>
    <n v="7"/>
    <n v="3"/>
    <n v="8"/>
  </r>
  <r>
    <s v="No"/>
    <s v="Travel_Rarely"/>
    <x v="2"/>
    <s v="Current Employees"/>
    <x v="1"/>
    <x v="0"/>
    <x v="793"/>
    <x v="793"/>
    <x v="1"/>
    <x v="2"/>
    <x v="2"/>
    <s v="No"/>
    <s v="Y"/>
    <n v="5"/>
    <n v="-2"/>
    <n v="0"/>
    <n v="28"/>
    <n v="0"/>
    <m/>
    <n v="0"/>
    <n v="1"/>
    <n v="895"/>
    <n v="15"/>
    <x v="0"/>
    <n v="1"/>
    <n v="1"/>
    <n v="50"/>
    <n v="3"/>
    <n v="1"/>
    <n v="1"/>
    <n v="2207"/>
    <n v="22482"/>
    <n v="1"/>
    <n v="16"/>
    <n v="3"/>
    <n v="4"/>
    <n v="80"/>
    <n v="1"/>
    <n v="4"/>
    <n v="2"/>
    <n v="4"/>
    <n v="2"/>
    <n v="2"/>
    <n v="2"/>
  </r>
  <r>
    <s v="No"/>
    <s v="Travel_Frequently"/>
    <x v="2"/>
    <s v="Current Employees"/>
    <x v="1"/>
    <x v="0"/>
    <x v="794"/>
    <x v="794"/>
    <x v="1"/>
    <x v="4"/>
    <x v="0"/>
    <s v="No"/>
    <s v="Y"/>
    <n v="1"/>
    <n v="-2"/>
    <n v="0"/>
    <n v="34"/>
    <n v="0"/>
    <m/>
    <n v="0"/>
    <n v="1"/>
    <n v="618"/>
    <n v="3"/>
    <x v="1"/>
    <n v="1"/>
    <n v="1"/>
    <n v="45"/>
    <n v="3"/>
    <n v="2"/>
    <n v="1"/>
    <n v="7756"/>
    <n v="22266"/>
    <n v="0"/>
    <n v="17"/>
    <n v="3"/>
    <n v="3"/>
    <n v="80"/>
    <n v="0"/>
    <n v="7"/>
    <n v="2"/>
    <n v="6"/>
    <n v="2"/>
    <n v="0"/>
    <n v="4"/>
  </r>
  <r>
    <s v="No"/>
    <s v="Travel_Rarely"/>
    <x v="0"/>
    <s v="Current Employees"/>
    <x v="0"/>
    <x v="0"/>
    <x v="795"/>
    <x v="795"/>
    <x v="0"/>
    <x v="0"/>
    <x v="2"/>
    <s v="Yes"/>
    <s v="Y"/>
    <n v="5"/>
    <n v="-2"/>
    <n v="0"/>
    <n v="37"/>
    <n v="0"/>
    <m/>
    <n v="0"/>
    <n v="1"/>
    <n v="309"/>
    <n v="10"/>
    <x v="2"/>
    <n v="1"/>
    <n v="4"/>
    <n v="88"/>
    <n v="2"/>
    <n v="2"/>
    <n v="1"/>
    <n v="6694"/>
    <n v="24223"/>
    <n v="2"/>
    <n v="14"/>
    <n v="3"/>
    <n v="3"/>
    <n v="80"/>
    <n v="3"/>
    <n v="8"/>
    <n v="3"/>
    <n v="1"/>
    <n v="0"/>
    <n v="0"/>
    <n v="0"/>
  </r>
  <r>
    <s v="Yes"/>
    <s v="Travel_Rarely"/>
    <x v="2"/>
    <s v="Ex-Employees"/>
    <x v="1"/>
    <x v="4"/>
    <x v="796"/>
    <x v="796"/>
    <x v="1"/>
    <x v="2"/>
    <x v="1"/>
    <s v="Yes"/>
    <s v="Y"/>
    <n v="3"/>
    <n v="-2"/>
    <n v="0"/>
    <n v="25"/>
    <n v="1"/>
    <n v="1"/>
    <n v="1"/>
    <n v="0"/>
    <n v="1219"/>
    <n v="4"/>
    <x v="1"/>
    <n v="1"/>
    <n v="4"/>
    <n v="32"/>
    <n v="3"/>
    <n v="1"/>
    <n v="4"/>
    <n v="3691"/>
    <n v="4605"/>
    <n v="1"/>
    <n v="15"/>
    <n v="3"/>
    <n v="2"/>
    <n v="80"/>
    <n v="1"/>
    <n v="7"/>
    <n v="4"/>
    <n v="7"/>
    <n v="7"/>
    <n v="5"/>
    <n v="6"/>
  </r>
  <r>
    <s v="Yes"/>
    <s v="Travel_Rarely"/>
    <x v="2"/>
    <s v="Ex-Employees"/>
    <x v="1"/>
    <x v="2"/>
    <x v="797"/>
    <x v="797"/>
    <x v="1"/>
    <x v="2"/>
    <x v="2"/>
    <s v="No"/>
    <s v="Y"/>
    <n v="0"/>
    <n v="-2"/>
    <n v="0"/>
    <n v="26"/>
    <n v="1"/>
    <n v="1"/>
    <n v="1"/>
    <n v="0"/>
    <n v="1330"/>
    <n v="21"/>
    <x v="3"/>
    <n v="1"/>
    <n v="1"/>
    <n v="37"/>
    <n v="3"/>
    <n v="1"/>
    <n v="3"/>
    <n v="2377"/>
    <n v="19373"/>
    <n v="1"/>
    <n v="20"/>
    <n v="4"/>
    <n v="3"/>
    <n v="80"/>
    <n v="1"/>
    <n v="1"/>
    <n v="2"/>
    <n v="1"/>
    <n v="1"/>
    <n v="0"/>
    <n v="0"/>
  </r>
  <r>
    <s v="Yes"/>
    <s v="Travel_Rarely"/>
    <x v="2"/>
    <s v="Ex-Employees"/>
    <x v="1"/>
    <x v="2"/>
    <x v="798"/>
    <x v="798"/>
    <x v="1"/>
    <x v="1"/>
    <x v="0"/>
    <s v="Yes"/>
    <s v="Y"/>
    <n v="0"/>
    <n v="-2"/>
    <n v="0"/>
    <n v="33"/>
    <n v="1"/>
    <n v="1"/>
    <n v="1"/>
    <n v="0"/>
    <n v="1017"/>
    <n v="25"/>
    <x v="3"/>
    <n v="1"/>
    <n v="1"/>
    <n v="55"/>
    <n v="2"/>
    <n v="1"/>
    <n v="3"/>
    <n v="2313"/>
    <n v="2993"/>
    <n v="4"/>
    <n v="20"/>
    <n v="4"/>
    <n v="2"/>
    <n v="80"/>
    <n v="0"/>
    <n v="5"/>
    <n v="3"/>
    <n v="2"/>
    <n v="2"/>
    <n v="2"/>
    <n v="2"/>
  </r>
  <r>
    <s v="No"/>
    <s v="Travel_Rarely"/>
    <x v="0"/>
    <s v="Current Employees"/>
    <x v="1"/>
    <x v="2"/>
    <x v="799"/>
    <x v="799"/>
    <x v="1"/>
    <x v="5"/>
    <x v="1"/>
    <s v="No"/>
    <s v="Y"/>
    <n v="3"/>
    <n v="-2"/>
    <n v="0"/>
    <n v="42"/>
    <n v="0"/>
    <m/>
    <n v="0"/>
    <n v="1"/>
    <n v="469"/>
    <n v="2"/>
    <x v="0"/>
    <n v="1"/>
    <n v="4"/>
    <n v="35"/>
    <n v="3"/>
    <n v="4"/>
    <n v="3"/>
    <n v="17665"/>
    <n v="14399"/>
    <n v="0"/>
    <n v="17"/>
    <n v="3"/>
    <n v="4"/>
    <n v="80"/>
    <n v="1"/>
    <n v="23"/>
    <n v="3"/>
    <n v="22"/>
    <n v="6"/>
    <n v="13"/>
    <n v="7"/>
  </r>
  <r>
    <s v="Yes"/>
    <s v="Travel_Frequently"/>
    <x v="2"/>
    <s v="Ex-Employees"/>
    <x v="1"/>
    <x v="2"/>
    <x v="800"/>
    <x v="800"/>
    <x v="1"/>
    <x v="2"/>
    <x v="2"/>
    <s v="No"/>
    <s v="Y"/>
    <n v="2"/>
    <n v="-2"/>
    <n v="0"/>
    <n v="28"/>
    <n v="1"/>
    <n v="1"/>
    <n v="1"/>
    <n v="0"/>
    <n v="1009"/>
    <n v="1"/>
    <x v="3"/>
    <n v="1"/>
    <n v="1"/>
    <n v="45"/>
    <n v="2"/>
    <n v="1"/>
    <n v="3"/>
    <n v="2596"/>
    <n v="7160"/>
    <n v="1"/>
    <n v="15"/>
    <n v="3"/>
    <n v="1"/>
    <n v="80"/>
    <n v="2"/>
    <n v="1"/>
    <n v="3"/>
    <n v="1"/>
    <n v="0"/>
    <n v="0"/>
    <n v="0"/>
  </r>
  <r>
    <s v="Yes"/>
    <s v="Travel_Frequently"/>
    <x v="1"/>
    <s v="Ex-Employees"/>
    <x v="0"/>
    <x v="1"/>
    <x v="801"/>
    <x v="801"/>
    <x v="1"/>
    <x v="0"/>
    <x v="0"/>
    <s v="Yes"/>
    <s v="Y"/>
    <n v="4"/>
    <n v="-2"/>
    <n v="0"/>
    <n v="50"/>
    <n v="1"/>
    <n v="1"/>
    <n v="1"/>
    <n v="0"/>
    <n v="959"/>
    <n v="1"/>
    <x v="2"/>
    <n v="1"/>
    <n v="4"/>
    <n v="81"/>
    <n v="3"/>
    <n v="2"/>
    <n v="3"/>
    <n v="4728"/>
    <n v="17251"/>
    <n v="3"/>
    <n v="14"/>
    <n v="3"/>
    <n v="4"/>
    <n v="80"/>
    <n v="0"/>
    <n v="5"/>
    <n v="3"/>
    <n v="0"/>
    <n v="0"/>
    <n v="0"/>
    <n v="0"/>
  </r>
  <r>
    <s v="No"/>
    <s v="Travel_Frequently"/>
    <x v="2"/>
    <s v="Current Employees"/>
    <x v="0"/>
    <x v="0"/>
    <x v="802"/>
    <x v="802"/>
    <x v="0"/>
    <x v="0"/>
    <x v="1"/>
    <s v="No"/>
    <s v="Y"/>
    <n v="3"/>
    <n v="-2"/>
    <n v="0"/>
    <n v="33"/>
    <n v="0"/>
    <m/>
    <n v="0"/>
    <n v="1"/>
    <n v="970"/>
    <n v="7"/>
    <x v="3"/>
    <n v="1"/>
    <n v="4"/>
    <n v="30"/>
    <n v="3"/>
    <n v="2"/>
    <n v="1"/>
    <n v="4302"/>
    <n v="13401"/>
    <n v="0"/>
    <n v="17"/>
    <n v="3"/>
    <n v="3"/>
    <n v="80"/>
    <n v="1"/>
    <n v="4"/>
    <n v="3"/>
    <n v="3"/>
    <n v="2"/>
    <n v="0"/>
    <n v="2"/>
  </r>
  <r>
    <s v="No"/>
    <s v="Non-Travel"/>
    <x v="2"/>
    <s v="Current Employees"/>
    <x v="1"/>
    <x v="0"/>
    <x v="803"/>
    <x v="803"/>
    <x v="1"/>
    <x v="1"/>
    <x v="1"/>
    <s v="No"/>
    <s v="Y"/>
    <n v="2"/>
    <n v="-2"/>
    <n v="0"/>
    <n v="34"/>
    <n v="0"/>
    <m/>
    <n v="0"/>
    <n v="1"/>
    <n v="697"/>
    <n v="3"/>
    <x v="2"/>
    <n v="1"/>
    <n v="3"/>
    <n v="40"/>
    <n v="2"/>
    <n v="1"/>
    <n v="1"/>
    <n v="2979"/>
    <n v="22478"/>
    <n v="3"/>
    <n v="17"/>
    <n v="3"/>
    <n v="4"/>
    <n v="80"/>
    <n v="3"/>
    <n v="6"/>
    <n v="3"/>
    <n v="0"/>
    <n v="0"/>
    <n v="0"/>
    <n v="0"/>
  </r>
  <r>
    <s v="No"/>
    <s v="Non-Travel"/>
    <x v="1"/>
    <s v="Current Employees"/>
    <x v="1"/>
    <x v="2"/>
    <x v="804"/>
    <x v="804"/>
    <x v="1"/>
    <x v="5"/>
    <x v="0"/>
    <s v="No"/>
    <s v="Y"/>
    <n v="3"/>
    <n v="-2"/>
    <n v="0"/>
    <n v="48"/>
    <n v="0"/>
    <m/>
    <n v="0"/>
    <n v="1"/>
    <n v="1262"/>
    <n v="1"/>
    <x v="2"/>
    <n v="1"/>
    <n v="1"/>
    <n v="35"/>
    <n v="4"/>
    <n v="4"/>
    <n v="4"/>
    <n v="16885"/>
    <n v="16154"/>
    <n v="2"/>
    <n v="22"/>
    <n v="4"/>
    <n v="3"/>
    <n v="80"/>
    <n v="0"/>
    <n v="27"/>
    <n v="2"/>
    <n v="5"/>
    <n v="4"/>
    <n v="2"/>
    <n v="1"/>
  </r>
  <r>
    <s v="No"/>
    <s v="Non-Travel"/>
    <x v="1"/>
    <s v="Current Employees"/>
    <x v="0"/>
    <x v="0"/>
    <x v="805"/>
    <x v="805"/>
    <x v="0"/>
    <x v="0"/>
    <x v="1"/>
    <s v="No"/>
    <s v="Y"/>
    <n v="2"/>
    <n v="-2"/>
    <n v="0"/>
    <n v="45"/>
    <n v="0"/>
    <m/>
    <n v="0"/>
    <n v="1"/>
    <n v="1050"/>
    <n v="9"/>
    <x v="2"/>
    <n v="1"/>
    <n v="2"/>
    <n v="65"/>
    <n v="2"/>
    <n v="2"/>
    <n v="1"/>
    <n v="5593"/>
    <n v="17970"/>
    <n v="1"/>
    <n v="13"/>
    <n v="3"/>
    <n v="4"/>
    <n v="80"/>
    <n v="1"/>
    <n v="15"/>
    <n v="3"/>
    <n v="15"/>
    <n v="10"/>
    <n v="4"/>
    <n v="12"/>
  </r>
  <r>
    <s v="No"/>
    <s v="Travel_Rarely"/>
    <x v="1"/>
    <s v="Current Employees"/>
    <x v="1"/>
    <x v="0"/>
    <x v="806"/>
    <x v="806"/>
    <x v="1"/>
    <x v="4"/>
    <x v="0"/>
    <s v="No"/>
    <s v="Y"/>
    <n v="4"/>
    <n v="-2"/>
    <n v="0"/>
    <n v="52"/>
    <n v="0"/>
    <m/>
    <n v="0"/>
    <n v="1"/>
    <n v="994"/>
    <n v="7"/>
    <x v="2"/>
    <n v="1"/>
    <n v="2"/>
    <n v="87"/>
    <n v="3"/>
    <n v="3"/>
    <n v="1"/>
    <n v="10445"/>
    <n v="15322"/>
    <n v="7"/>
    <n v="19"/>
    <n v="3"/>
    <n v="4"/>
    <n v="80"/>
    <n v="0"/>
    <n v="18"/>
    <n v="3"/>
    <n v="8"/>
    <n v="6"/>
    <n v="4"/>
    <n v="0"/>
  </r>
  <r>
    <s v="No"/>
    <s v="Travel_Rarely"/>
    <x v="0"/>
    <s v="Current Employees"/>
    <x v="0"/>
    <x v="3"/>
    <x v="807"/>
    <x v="807"/>
    <x v="1"/>
    <x v="0"/>
    <x v="2"/>
    <s v="Yes"/>
    <s v="Y"/>
    <n v="2"/>
    <n v="-2"/>
    <n v="0"/>
    <n v="38"/>
    <n v="0"/>
    <m/>
    <n v="0"/>
    <n v="1"/>
    <n v="770"/>
    <n v="10"/>
    <x v="2"/>
    <n v="1"/>
    <n v="3"/>
    <n v="73"/>
    <n v="2"/>
    <n v="3"/>
    <n v="2"/>
    <n v="8740"/>
    <n v="5569"/>
    <n v="0"/>
    <n v="14"/>
    <n v="3"/>
    <n v="2"/>
    <n v="80"/>
    <n v="2"/>
    <n v="9"/>
    <n v="3"/>
    <n v="8"/>
    <n v="7"/>
    <n v="2"/>
    <n v="7"/>
  </r>
  <r>
    <s v="No"/>
    <s v="Travel_Rarely"/>
    <x v="2"/>
    <s v="Current Employees"/>
    <x v="1"/>
    <x v="0"/>
    <x v="808"/>
    <x v="808"/>
    <x v="0"/>
    <x v="1"/>
    <x v="2"/>
    <s v="No"/>
    <s v="Y"/>
    <n v="1"/>
    <n v="-2"/>
    <n v="0"/>
    <n v="29"/>
    <n v="0"/>
    <m/>
    <n v="0"/>
    <n v="1"/>
    <n v="1107"/>
    <n v="28"/>
    <x v="2"/>
    <n v="1"/>
    <n v="3"/>
    <n v="93"/>
    <n v="3"/>
    <n v="1"/>
    <n v="1"/>
    <n v="2514"/>
    <n v="26968"/>
    <n v="4"/>
    <n v="22"/>
    <n v="4"/>
    <n v="1"/>
    <n v="80"/>
    <n v="1"/>
    <n v="11"/>
    <n v="3"/>
    <n v="7"/>
    <n v="5"/>
    <n v="1"/>
    <n v="7"/>
  </r>
  <r>
    <s v="No"/>
    <s v="Travel_Rarely"/>
    <x v="2"/>
    <s v="Current Employees"/>
    <x v="1"/>
    <x v="2"/>
    <x v="809"/>
    <x v="809"/>
    <x v="0"/>
    <x v="3"/>
    <x v="2"/>
    <s v="No"/>
    <s v="Y"/>
    <n v="3"/>
    <n v="-2"/>
    <n v="0"/>
    <n v="28"/>
    <n v="0"/>
    <m/>
    <n v="0"/>
    <n v="1"/>
    <n v="950"/>
    <n v="3"/>
    <x v="3"/>
    <n v="1"/>
    <n v="4"/>
    <n v="93"/>
    <n v="3"/>
    <n v="3"/>
    <n v="3"/>
    <n v="7655"/>
    <n v="8039"/>
    <n v="0"/>
    <n v="17"/>
    <n v="3"/>
    <n v="2"/>
    <n v="80"/>
    <n v="3"/>
    <n v="10"/>
    <n v="2"/>
    <n v="9"/>
    <n v="7"/>
    <n v="1"/>
    <n v="7"/>
  </r>
  <r>
    <s v="No"/>
    <s v="Travel_Rarely"/>
    <x v="1"/>
    <s v="Current Employees"/>
    <x v="0"/>
    <x v="3"/>
    <x v="810"/>
    <x v="810"/>
    <x v="1"/>
    <x v="5"/>
    <x v="1"/>
    <s v="No"/>
    <s v="Y"/>
    <n v="3"/>
    <n v="-2"/>
    <n v="0"/>
    <n v="46"/>
    <n v="0"/>
    <m/>
    <n v="0"/>
    <n v="1"/>
    <n v="406"/>
    <n v="3"/>
    <x v="1"/>
    <n v="1"/>
    <n v="1"/>
    <n v="52"/>
    <n v="3"/>
    <n v="4"/>
    <n v="2"/>
    <n v="17465"/>
    <n v="15596"/>
    <n v="3"/>
    <n v="12"/>
    <n v="3"/>
    <n v="4"/>
    <n v="80"/>
    <n v="1"/>
    <n v="23"/>
    <n v="3"/>
    <n v="12"/>
    <n v="9"/>
    <n v="4"/>
    <n v="9"/>
  </r>
  <r>
    <s v="No"/>
    <s v="Travel_Rarely"/>
    <x v="0"/>
    <s v="Current Employees"/>
    <x v="0"/>
    <x v="3"/>
    <x v="811"/>
    <x v="811"/>
    <x v="1"/>
    <x v="0"/>
    <x v="0"/>
    <s v="No"/>
    <s v="Y"/>
    <n v="2"/>
    <n v="-2"/>
    <n v="0"/>
    <n v="38"/>
    <n v="0"/>
    <m/>
    <n v="0"/>
    <n v="1"/>
    <n v="130"/>
    <n v="2"/>
    <x v="0"/>
    <n v="1"/>
    <n v="4"/>
    <n v="32"/>
    <n v="3"/>
    <n v="3"/>
    <n v="2"/>
    <n v="7351"/>
    <n v="20619"/>
    <n v="7"/>
    <n v="16"/>
    <n v="3"/>
    <n v="3"/>
    <n v="80"/>
    <n v="0"/>
    <n v="10"/>
    <n v="3"/>
    <n v="1"/>
    <n v="0"/>
    <n v="0"/>
    <n v="0"/>
  </r>
  <r>
    <s v="No"/>
    <s v="Travel_Frequently"/>
    <x v="0"/>
    <s v="Current Employees"/>
    <x v="1"/>
    <x v="0"/>
    <x v="812"/>
    <x v="812"/>
    <x v="0"/>
    <x v="3"/>
    <x v="1"/>
    <s v="No"/>
    <s v="Y"/>
    <n v="1"/>
    <n v="-2"/>
    <n v="0"/>
    <n v="43"/>
    <n v="0"/>
    <m/>
    <n v="0"/>
    <n v="1"/>
    <n v="1082"/>
    <n v="27"/>
    <x v="3"/>
    <n v="1"/>
    <n v="3"/>
    <n v="83"/>
    <n v="3"/>
    <n v="3"/>
    <n v="1"/>
    <n v="10820"/>
    <n v="11535"/>
    <n v="8"/>
    <n v="11"/>
    <n v="3"/>
    <n v="3"/>
    <n v="80"/>
    <n v="1"/>
    <n v="18"/>
    <n v="3"/>
    <n v="8"/>
    <n v="7"/>
    <n v="0"/>
    <n v="1"/>
  </r>
  <r>
    <s v="Yes"/>
    <s v="Travel_Frequently"/>
    <x v="0"/>
    <s v="Ex-Employees"/>
    <x v="1"/>
    <x v="0"/>
    <x v="813"/>
    <x v="813"/>
    <x v="1"/>
    <x v="4"/>
    <x v="2"/>
    <s v="No"/>
    <s v="Y"/>
    <n v="4"/>
    <n v="-2"/>
    <n v="0"/>
    <n v="39"/>
    <n v="1"/>
    <n v="1"/>
    <n v="1"/>
    <n v="0"/>
    <n v="203"/>
    <n v="2"/>
    <x v="3"/>
    <n v="1"/>
    <n v="1"/>
    <n v="84"/>
    <n v="3"/>
    <n v="4"/>
    <n v="1"/>
    <n v="12169"/>
    <n v="13547"/>
    <n v="7"/>
    <n v="11"/>
    <n v="3"/>
    <n v="4"/>
    <n v="80"/>
    <n v="3"/>
    <n v="21"/>
    <n v="3"/>
    <n v="18"/>
    <n v="7"/>
    <n v="11"/>
    <n v="5"/>
  </r>
  <r>
    <s v="No"/>
    <s v="Travel_Rarely"/>
    <x v="0"/>
    <s v="Current Employees"/>
    <x v="1"/>
    <x v="2"/>
    <x v="814"/>
    <x v="814"/>
    <x v="1"/>
    <x v="7"/>
    <x v="0"/>
    <s v="No"/>
    <s v="Y"/>
    <n v="2"/>
    <n v="-2"/>
    <n v="0"/>
    <n v="40"/>
    <n v="0"/>
    <m/>
    <n v="0"/>
    <n v="1"/>
    <n v="1308"/>
    <n v="14"/>
    <x v="3"/>
    <n v="1"/>
    <n v="3"/>
    <n v="44"/>
    <n v="2"/>
    <n v="5"/>
    <n v="3"/>
    <n v="19626"/>
    <n v="17544"/>
    <n v="1"/>
    <n v="14"/>
    <n v="3"/>
    <n v="1"/>
    <n v="80"/>
    <n v="0"/>
    <n v="21"/>
    <n v="4"/>
    <n v="20"/>
    <n v="7"/>
    <n v="4"/>
    <n v="9"/>
  </r>
  <r>
    <s v="No"/>
    <s v="Travel_Rarely"/>
    <x v="4"/>
    <s v="Current Employees"/>
    <x v="1"/>
    <x v="4"/>
    <x v="815"/>
    <x v="815"/>
    <x v="0"/>
    <x v="1"/>
    <x v="0"/>
    <s v="Yes"/>
    <s v="Y"/>
    <n v="6"/>
    <n v="-2"/>
    <n v="0"/>
    <n v="21"/>
    <n v="0"/>
    <m/>
    <n v="0"/>
    <n v="1"/>
    <n v="984"/>
    <n v="1"/>
    <x v="1"/>
    <n v="1"/>
    <n v="4"/>
    <n v="70"/>
    <n v="2"/>
    <n v="1"/>
    <n v="4"/>
    <n v="2070"/>
    <n v="25326"/>
    <n v="1"/>
    <n v="11"/>
    <n v="3"/>
    <n v="3"/>
    <n v="80"/>
    <n v="0"/>
    <n v="2"/>
    <n v="4"/>
    <n v="2"/>
    <n v="2"/>
    <n v="2"/>
    <n v="2"/>
  </r>
  <r>
    <s v="No"/>
    <s v="Non-Travel"/>
    <x v="0"/>
    <s v="Current Employees"/>
    <x v="1"/>
    <x v="0"/>
    <x v="816"/>
    <x v="816"/>
    <x v="1"/>
    <x v="2"/>
    <x v="0"/>
    <s v="No"/>
    <s v="Y"/>
    <n v="2"/>
    <n v="-2"/>
    <n v="0"/>
    <n v="39"/>
    <n v="0"/>
    <m/>
    <n v="0"/>
    <n v="1"/>
    <n v="439"/>
    <n v="9"/>
    <x v="3"/>
    <n v="1"/>
    <n v="3"/>
    <n v="70"/>
    <n v="3"/>
    <n v="2"/>
    <n v="1"/>
    <n v="6782"/>
    <n v="8770"/>
    <n v="9"/>
    <n v="15"/>
    <n v="3"/>
    <n v="3"/>
    <n v="80"/>
    <n v="0"/>
    <n v="9"/>
    <n v="2"/>
    <n v="5"/>
    <n v="4"/>
    <n v="0"/>
    <n v="3"/>
  </r>
  <r>
    <s v="No"/>
    <s v="Non-Travel"/>
    <x v="0"/>
    <s v="Current Employees"/>
    <x v="1"/>
    <x v="0"/>
    <x v="817"/>
    <x v="817"/>
    <x v="1"/>
    <x v="3"/>
    <x v="0"/>
    <s v="No"/>
    <s v="Y"/>
    <n v="0"/>
    <n v="-2"/>
    <n v="0"/>
    <n v="36"/>
    <n v="0"/>
    <m/>
    <n v="0"/>
    <n v="1"/>
    <n v="217"/>
    <n v="18"/>
    <x v="2"/>
    <n v="1"/>
    <n v="1"/>
    <n v="78"/>
    <n v="3"/>
    <n v="2"/>
    <n v="1"/>
    <n v="7779"/>
    <n v="23238"/>
    <n v="2"/>
    <n v="20"/>
    <n v="4"/>
    <n v="1"/>
    <n v="80"/>
    <n v="0"/>
    <n v="18"/>
    <n v="3"/>
    <n v="11"/>
    <n v="9"/>
    <n v="0"/>
    <n v="9"/>
  </r>
  <r>
    <s v="No"/>
    <s v="Travel_Frequently"/>
    <x v="2"/>
    <s v="Current Employees"/>
    <x v="0"/>
    <x v="0"/>
    <x v="818"/>
    <x v="818"/>
    <x v="1"/>
    <x v="6"/>
    <x v="1"/>
    <s v="No"/>
    <s v="Y"/>
    <n v="4"/>
    <n v="-2"/>
    <n v="0"/>
    <n v="31"/>
    <n v="0"/>
    <m/>
    <n v="0"/>
    <n v="1"/>
    <n v="793"/>
    <n v="20"/>
    <x v="3"/>
    <n v="1"/>
    <n v="3"/>
    <n v="67"/>
    <n v="4"/>
    <n v="1"/>
    <n v="1"/>
    <n v="2791"/>
    <n v="21981"/>
    <n v="0"/>
    <n v="12"/>
    <n v="3"/>
    <n v="1"/>
    <n v="80"/>
    <n v="1"/>
    <n v="3"/>
    <n v="3"/>
    <n v="2"/>
    <n v="2"/>
    <n v="2"/>
    <n v="2"/>
  </r>
  <r>
    <s v="No"/>
    <s v="Travel_Rarely"/>
    <x v="2"/>
    <s v="Current Employees"/>
    <x v="1"/>
    <x v="0"/>
    <x v="819"/>
    <x v="819"/>
    <x v="1"/>
    <x v="1"/>
    <x v="1"/>
    <s v="No"/>
    <s v="Y"/>
    <n v="2"/>
    <n v="-2"/>
    <n v="0"/>
    <n v="28"/>
    <n v="0"/>
    <m/>
    <n v="0"/>
    <n v="1"/>
    <n v="1451"/>
    <n v="2"/>
    <x v="1"/>
    <n v="1"/>
    <n v="1"/>
    <n v="67"/>
    <n v="2"/>
    <n v="1"/>
    <n v="1"/>
    <n v="3201"/>
    <n v="19911"/>
    <n v="0"/>
    <n v="17"/>
    <n v="3"/>
    <n v="1"/>
    <n v="80"/>
    <n v="0"/>
    <n v="6"/>
    <n v="1"/>
    <n v="5"/>
    <n v="3"/>
    <n v="0"/>
    <n v="4"/>
  </r>
  <r>
    <s v="No"/>
    <s v="Travel_Frequently"/>
    <x v="0"/>
    <s v="Current Employees"/>
    <x v="0"/>
    <x v="3"/>
    <x v="820"/>
    <x v="820"/>
    <x v="1"/>
    <x v="0"/>
    <x v="2"/>
    <s v="No"/>
    <s v="Y"/>
    <n v="3"/>
    <n v="-2"/>
    <n v="0"/>
    <n v="35"/>
    <n v="0"/>
    <m/>
    <n v="0"/>
    <n v="1"/>
    <n v="1182"/>
    <n v="11"/>
    <x v="0"/>
    <n v="1"/>
    <n v="4"/>
    <n v="54"/>
    <n v="3"/>
    <n v="2"/>
    <n v="2"/>
    <n v="4968"/>
    <n v="18500"/>
    <n v="1"/>
    <n v="11"/>
    <n v="3"/>
    <n v="4"/>
    <n v="80"/>
    <n v="1"/>
    <n v="5"/>
    <n v="3"/>
    <n v="5"/>
    <n v="2"/>
    <n v="0"/>
    <n v="2"/>
  </r>
  <r>
    <s v="No"/>
    <s v="Travel_Rarely"/>
    <x v="1"/>
    <s v="Current Employees"/>
    <x v="0"/>
    <x v="4"/>
    <x v="821"/>
    <x v="821"/>
    <x v="1"/>
    <x v="0"/>
    <x v="1"/>
    <s v="No"/>
    <s v="Y"/>
    <n v="3"/>
    <n v="-2"/>
    <n v="0"/>
    <n v="49"/>
    <n v="0"/>
    <m/>
    <n v="0"/>
    <n v="1"/>
    <n v="174"/>
    <n v="8"/>
    <x v="2"/>
    <n v="1"/>
    <n v="4"/>
    <n v="56"/>
    <n v="2"/>
    <n v="4"/>
    <n v="4"/>
    <n v="13120"/>
    <n v="11879"/>
    <n v="6"/>
    <n v="17"/>
    <n v="3"/>
    <n v="2"/>
    <n v="80"/>
    <n v="1"/>
    <n v="22"/>
    <n v="3"/>
    <n v="9"/>
    <n v="8"/>
    <n v="2"/>
    <n v="3"/>
  </r>
  <r>
    <s v="No"/>
    <s v="Travel_Frequently"/>
    <x v="2"/>
    <s v="Current Employees"/>
    <x v="1"/>
    <x v="0"/>
    <x v="822"/>
    <x v="822"/>
    <x v="1"/>
    <x v="3"/>
    <x v="0"/>
    <s v="No"/>
    <s v="Y"/>
    <n v="3"/>
    <n v="-2"/>
    <n v="0"/>
    <n v="34"/>
    <n v="0"/>
    <m/>
    <n v="0"/>
    <n v="1"/>
    <n v="1003"/>
    <n v="2"/>
    <x v="0"/>
    <n v="1"/>
    <n v="4"/>
    <n v="95"/>
    <n v="3"/>
    <n v="2"/>
    <n v="1"/>
    <n v="4033"/>
    <n v="15834"/>
    <n v="2"/>
    <n v="11"/>
    <n v="3"/>
    <n v="4"/>
    <n v="80"/>
    <n v="0"/>
    <n v="5"/>
    <n v="2"/>
    <n v="3"/>
    <n v="2"/>
    <n v="0"/>
    <n v="2"/>
  </r>
  <r>
    <s v="No"/>
    <s v="Travel_Frequently"/>
    <x v="2"/>
    <s v="Current Employees"/>
    <x v="1"/>
    <x v="0"/>
    <x v="823"/>
    <x v="823"/>
    <x v="0"/>
    <x v="1"/>
    <x v="2"/>
    <s v="No"/>
    <s v="Y"/>
    <n v="2"/>
    <n v="-2"/>
    <n v="0"/>
    <n v="29"/>
    <n v="0"/>
    <m/>
    <n v="0"/>
    <n v="1"/>
    <n v="490"/>
    <n v="10"/>
    <x v="3"/>
    <n v="1"/>
    <n v="4"/>
    <n v="61"/>
    <n v="3"/>
    <n v="1"/>
    <n v="1"/>
    <n v="3291"/>
    <n v="17940"/>
    <n v="0"/>
    <n v="14"/>
    <n v="3"/>
    <n v="4"/>
    <n v="80"/>
    <n v="2"/>
    <n v="8"/>
    <n v="2"/>
    <n v="7"/>
    <n v="5"/>
    <n v="1"/>
    <n v="1"/>
  </r>
  <r>
    <s v="No"/>
    <s v="Travel_Rarely"/>
    <x v="0"/>
    <s v="Current Employees"/>
    <x v="1"/>
    <x v="2"/>
    <x v="824"/>
    <x v="824"/>
    <x v="1"/>
    <x v="2"/>
    <x v="0"/>
    <s v="No"/>
    <s v="Y"/>
    <n v="3"/>
    <n v="-2"/>
    <n v="0"/>
    <n v="42"/>
    <n v="0"/>
    <m/>
    <n v="0"/>
    <n v="1"/>
    <n v="188"/>
    <n v="29"/>
    <x v="3"/>
    <n v="1"/>
    <n v="2"/>
    <n v="56"/>
    <n v="1"/>
    <n v="2"/>
    <n v="4"/>
    <n v="4272"/>
    <n v="9558"/>
    <n v="4"/>
    <n v="19"/>
    <n v="3"/>
    <n v="1"/>
    <n v="80"/>
    <n v="0"/>
    <n v="16"/>
    <n v="3"/>
    <n v="1"/>
    <n v="0"/>
    <n v="0"/>
    <n v="0"/>
  </r>
  <r>
    <s v="No"/>
    <s v="Travel_Rarely"/>
    <x v="2"/>
    <s v="Current Employees"/>
    <x v="1"/>
    <x v="2"/>
    <x v="825"/>
    <x v="825"/>
    <x v="1"/>
    <x v="3"/>
    <x v="1"/>
    <s v="Yes"/>
    <s v="Y"/>
    <n v="2"/>
    <n v="-2"/>
    <n v="0"/>
    <n v="29"/>
    <n v="0"/>
    <m/>
    <n v="0"/>
    <n v="1"/>
    <n v="718"/>
    <n v="8"/>
    <x v="1"/>
    <n v="1"/>
    <n v="2"/>
    <n v="79"/>
    <n v="2"/>
    <n v="2"/>
    <n v="4"/>
    <n v="5056"/>
    <n v="17689"/>
    <n v="1"/>
    <n v="15"/>
    <n v="3"/>
    <n v="3"/>
    <n v="80"/>
    <n v="1"/>
    <n v="10"/>
    <n v="2"/>
    <n v="10"/>
    <n v="7"/>
    <n v="1"/>
    <n v="2"/>
  </r>
  <r>
    <s v="No"/>
    <s v="Travel_Rarely"/>
    <x v="0"/>
    <s v="Current Employees"/>
    <x v="2"/>
    <x v="5"/>
    <x v="826"/>
    <x v="826"/>
    <x v="1"/>
    <x v="8"/>
    <x v="1"/>
    <s v="No"/>
    <s v="Y"/>
    <n v="2"/>
    <n v="-2"/>
    <n v="0"/>
    <n v="38"/>
    <n v="0"/>
    <m/>
    <n v="0"/>
    <n v="1"/>
    <n v="433"/>
    <n v="1"/>
    <x v="3"/>
    <n v="1"/>
    <n v="3"/>
    <n v="37"/>
    <n v="4"/>
    <n v="1"/>
    <n v="3"/>
    <n v="2844"/>
    <n v="6004"/>
    <n v="1"/>
    <n v="13"/>
    <n v="3"/>
    <n v="4"/>
    <n v="80"/>
    <n v="1"/>
    <n v="7"/>
    <n v="4"/>
    <n v="7"/>
    <n v="6"/>
    <n v="5"/>
    <n v="0"/>
  </r>
  <r>
    <s v="No"/>
    <s v="Travel_Frequently"/>
    <x v="2"/>
    <s v="Current Employees"/>
    <x v="1"/>
    <x v="0"/>
    <x v="827"/>
    <x v="827"/>
    <x v="1"/>
    <x v="1"/>
    <x v="2"/>
    <s v="Yes"/>
    <s v="Y"/>
    <n v="2"/>
    <n v="-2"/>
    <n v="0"/>
    <n v="28"/>
    <n v="0"/>
    <m/>
    <n v="0"/>
    <n v="1"/>
    <n v="773"/>
    <n v="6"/>
    <x v="3"/>
    <n v="1"/>
    <n v="3"/>
    <n v="39"/>
    <n v="2"/>
    <n v="1"/>
    <n v="1"/>
    <n v="2703"/>
    <n v="22088"/>
    <n v="1"/>
    <n v="14"/>
    <n v="3"/>
    <n v="4"/>
    <n v="80"/>
    <n v="1"/>
    <n v="3"/>
    <n v="3"/>
    <n v="3"/>
    <n v="1"/>
    <n v="0"/>
    <n v="2"/>
  </r>
  <r>
    <s v="Yes"/>
    <s v="Non-Travel"/>
    <x v="4"/>
    <s v="Ex-Employees"/>
    <x v="1"/>
    <x v="2"/>
    <x v="828"/>
    <x v="828"/>
    <x v="1"/>
    <x v="2"/>
    <x v="0"/>
    <s v="No"/>
    <s v="Y"/>
    <n v="0"/>
    <n v="-2"/>
    <n v="0"/>
    <n v="18"/>
    <n v="1"/>
    <n v="1"/>
    <n v="1"/>
    <n v="0"/>
    <n v="247"/>
    <n v="8"/>
    <x v="1"/>
    <n v="1"/>
    <n v="3"/>
    <n v="80"/>
    <n v="3"/>
    <n v="1"/>
    <n v="3"/>
    <n v="1904"/>
    <n v="13556"/>
    <n v="1"/>
    <n v="12"/>
    <n v="3"/>
    <n v="4"/>
    <n v="80"/>
    <n v="0"/>
    <n v="0"/>
    <n v="3"/>
    <n v="0"/>
    <n v="0"/>
    <n v="0"/>
    <n v="0"/>
  </r>
  <r>
    <s v="Yes"/>
    <s v="Travel_Rarely"/>
    <x v="2"/>
    <s v="Ex-Employees"/>
    <x v="0"/>
    <x v="3"/>
    <x v="829"/>
    <x v="829"/>
    <x v="0"/>
    <x v="0"/>
    <x v="0"/>
    <s v="Yes"/>
    <s v="Y"/>
    <n v="3"/>
    <n v="-2"/>
    <n v="0"/>
    <n v="33"/>
    <n v="1"/>
    <n v="1"/>
    <n v="1"/>
    <n v="0"/>
    <n v="603"/>
    <n v="9"/>
    <x v="2"/>
    <n v="1"/>
    <n v="1"/>
    <n v="77"/>
    <n v="3"/>
    <n v="2"/>
    <n v="2"/>
    <n v="8224"/>
    <n v="18385"/>
    <n v="0"/>
    <n v="17"/>
    <n v="3"/>
    <n v="1"/>
    <n v="80"/>
    <n v="0"/>
    <n v="6"/>
    <n v="3"/>
    <n v="5"/>
    <n v="2"/>
    <n v="0"/>
    <n v="3"/>
  </r>
  <r>
    <s v="No"/>
    <s v="Travel_Rarely"/>
    <x v="0"/>
    <s v="Current Employees"/>
    <x v="1"/>
    <x v="0"/>
    <x v="830"/>
    <x v="830"/>
    <x v="1"/>
    <x v="2"/>
    <x v="1"/>
    <s v="Yes"/>
    <s v="Y"/>
    <n v="4"/>
    <n v="-2"/>
    <n v="0"/>
    <n v="41"/>
    <n v="0"/>
    <m/>
    <n v="0"/>
    <n v="1"/>
    <n v="167"/>
    <n v="12"/>
    <x v="2"/>
    <n v="1"/>
    <n v="2"/>
    <n v="46"/>
    <n v="3"/>
    <n v="1"/>
    <n v="1"/>
    <n v="4766"/>
    <n v="9051"/>
    <n v="3"/>
    <n v="11"/>
    <n v="3"/>
    <n v="1"/>
    <n v="80"/>
    <n v="1"/>
    <n v="6"/>
    <n v="3"/>
    <n v="1"/>
    <n v="0"/>
    <n v="0"/>
    <n v="0"/>
  </r>
  <r>
    <s v="Yes"/>
    <s v="Travel_Frequently"/>
    <x v="2"/>
    <s v="Ex-Employees"/>
    <x v="1"/>
    <x v="2"/>
    <x v="831"/>
    <x v="831"/>
    <x v="1"/>
    <x v="2"/>
    <x v="1"/>
    <s v="No"/>
    <s v="Y"/>
    <n v="5"/>
    <n v="-2"/>
    <n v="0"/>
    <n v="31"/>
    <n v="1"/>
    <n v="1"/>
    <n v="1"/>
    <n v="0"/>
    <n v="874"/>
    <n v="15"/>
    <x v="3"/>
    <n v="1"/>
    <n v="3"/>
    <n v="72"/>
    <n v="3"/>
    <n v="1"/>
    <n v="3"/>
    <n v="2610"/>
    <n v="6233"/>
    <n v="1"/>
    <n v="12"/>
    <n v="3"/>
    <n v="3"/>
    <n v="80"/>
    <n v="1"/>
    <n v="2"/>
    <n v="2"/>
    <n v="2"/>
    <n v="2"/>
    <n v="2"/>
    <n v="2"/>
  </r>
  <r>
    <s v="No"/>
    <s v="Travel_Rarely"/>
    <x v="0"/>
    <s v="Current Employees"/>
    <x v="1"/>
    <x v="2"/>
    <x v="832"/>
    <x v="832"/>
    <x v="0"/>
    <x v="4"/>
    <x v="2"/>
    <s v="No"/>
    <s v="Y"/>
    <n v="2"/>
    <n v="-2"/>
    <n v="0"/>
    <n v="37"/>
    <n v="0"/>
    <m/>
    <n v="0"/>
    <n v="1"/>
    <n v="367"/>
    <n v="25"/>
    <x v="0"/>
    <n v="1"/>
    <n v="3"/>
    <n v="52"/>
    <n v="2"/>
    <n v="2"/>
    <n v="4"/>
    <n v="5731"/>
    <n v="17171"/>
    <n v="7"/>
    <n v="13"/>
    <n v="3"/>
    <n v="3"/>
    <n v="80"/>
    <n v="2"/>
    <n v="9"/>
    <n v="3"/>
    <n v="6"/>
    <n v="2"/>
    <n v="1"/>
    <n v="3"/>
  </r>
  <r>
    <s v="No"/>
    <s v="Travel_Rarely"/>
    <x v="2"/>
    <s v="Current Employees"/>
    <x v="1"/>
    <x v="0"/>
    <x v="833"/>
    <x v="833"/>
    <x v="1"/>
    <x v="1"/>
    <x v="1"/>
    <s v="No"/>
    <s v="Y"/>
    <n v="0"/>
    <n v="-2"/>
    <n v="0"/>
    <n v="27"/>
    <n v="0"/>
    <m/>
    <n v="0"/>
    <n v="1"/>
    <n v="199"/>
    <n v="6"/>
    <x v="3"/>
    <n v="1"/>
    <n v="4"/>
    <n v="55"/>
    <n v="2"/>
    <n v="1"/>
    <n v="1"/>
    <n v="2539"/>
    <n v="7950"/>
    <n v="1"/>
    <n v="13"/>
    <n v="3"/>
    <n v="3"/>
    <n v="80"/>
    <n v="1"/>
    <n v="4"/>
    <n v="3"/>
    <n v="4"/>
    <n v="2"/>
    <n v="2"/>
    <n v="2"/>
  </r>
  <r>
    <s v="No"/>
    <s v="Travel_Rarely"/>
    <x v="2"/>
    <s v="Current Employees"/>
    <x v="0"/>
    <x v="0"/>
    <x v="834"/>
    <x v="834"/>
    <x v="0"/>
    <x v="0"/>
    <x v="1"/>
    <s v="No"/>
    <s v="Y"/>
    <n v="3"/>
    <n v="-2"/>
    <n v="0"/>
    <n v="34"/>
    <n v="0"/>
    <m/>
    <n v="0"/>
    <n v="1"/>
    <n v="1400"/>
    <n v="9"/>
    <x v="1"/>
    <n v="1"/>
    <n v="2"/>
    <n v="70"/>
    <n v="3"/>
    <n v="2"/>
    <n v="1"/>
    <n v="5714"/>
    <n v="5829"/>
    <n v="1"/>
    <n v="20"/>
    <n v="4"/>
    <n v="1"/>
    <n v="80"/>
    <n v="0"/>
    <n v="6"/>
    <n v="2"/>
    <n v="6"/>
    <n v="5"/>
    <n v="1"/>
    <n v="3"/>
  </r>
  <r>
    <s v="No"/>
    <s v="Travel_Rarely"/>
    <x v="0"/>
    <s v="Current Employees"/>
    <x v="2"/>
    <x v="4"/>
    <x v="835"/>
    <x v="835"/>
    <x v="1"/>
    <x v="8"/>
    <x v="0"/>
    <s v="No"/>
    <s v="Y"/>
    <n v="2"/>
    <n v="-2"/>
    <n v="0"/>
    <n v="35"/>
    <n v="0"/>
    <m/>
    <n v="0"/>
    <n v="1"/>
    <n v="528"/>
    <n v="8"/>
    <x v="2"/>
    <n v="1"/>
    <n v="4"/>
    <n v="100"/>
    <n v="3"/>
    <n v="1"/>
    <n v="4"/>
    <n v="4323"/>
    <n v="7108"/>
    <n v="1"/>
    <n v="17"/>
    <n v="3"/>
    <n v="2"/>
    <n v="80"/>
    <n v="0"/>
    <n v="6"/>
    <n v="1"/>
    <n v="5"/>
    <n v="4"/>
    <n v="1"/>
    <n v="4"/>
  </r>
  <r>
    <s v="Yes"/>
    <s v="Travel_Rarely"/>
    <x v="2"/>
    <s v="Ex-Employees"/>
    <x v="0"/>
    <x v="0"/>
    <x v="836"/>
    <x v="836"/>
    <x v="0"/>
    <x v="0"/>
    <x v="1"/>
    <s v="No"/>
    <s v="Y"/>
    <n v="3"/>
    <n v="-2"/>
    <n v="0"/>
    <n v="29"/>
    <n v="1"/>
    <n v="1"/>
    <n v="1"/>
    <n v="0"/>
    <n v="408"/>
    <n v="23"/>
    <x v="1"/>
    <n v="1"/>
    <n v="4"/>
    <n v="45"/>
    <n v="2"/>
    <n v="3"/>
    <n v="1"/>
    <n v="7336"/>
    <n v="11162"/>
    <n v="1"/>
    <n v="13"/>
    <n v="3"/>
    <n v="1"/>
    <n v="80"/>
    <n v="1"/>
    <n v="11"/>
    <n v="1"/>
    <n v="11"/>
    <n v="8"/>
    <n v="3"/>
    <n v="10"/>
  </r>
  <r>
    <s v="No"/>
    <s v="Travel_Frequently"/>
    <x v="0"/>
    <s v="Current Employees"/>
    <x v="1"/>
    <x v="2"/>
    <x v="837"/>
    <x v="837"/>
    <x v="0"/>
    <x v="7"/>
    <x v="0"/>
    <s v="No"/>
    <s v="Y"/>
    <n v="3"/>
    <n v="-2"/>
    <n v="0"/>
    <n v="40"/>
    <n v="0"/>
    <m/>
    <n v="0"/>
    <n v="1"/>
    <n v="593"/>
    <n v="9"/>
    <x v="2"/>
    <n v="1"/>
    <n v="2"/>
    <n v="88"/>
    <n v="3"/>
    <n v="3"/>
    <n v="3"/>
    <n v="13499"/>
    <n v="13782"/>
    <n v="9"/>
    <n v="17"/>
    <n v="3"/>
    <n v="3"/>
    <n v="80"/>
    <n v="0"/>
    <n v="20"/>
    <n v="2"/>
    <n v="18"/>
    <n v="7"/>
    <n v="2"/>
    <n v="13"/>
  </r>
  <r>
    <s v="Yes"/>
    <s v="Travel_Frequently"/>
    <x v="0"/>
    <s v="Ex-Employees"/>
    <x v="0"/>
    <x v="0"/>
    <x v="838"/>
    <x v="838"/>
    <x v="1"/>
    <x v="0"/>
    <x v="0"/>
    <s v="Yes"/>
    <s v="Y"/>
    <n v="2"/>
    <n v="-2"/>
    <n v="0"/>
    <n v="42"/>
    <n v="1"/>
    <n v="1"/>
    <n v="1"/>
    <n v="0"/>
    <n v="481"/>
    <n v="12"/>
    <x v="3"/>
    <n v="1"/>
    <n v="3"/>
    <n v="44"/>
    <n v="3"/>
    <n v="4"/>
    <n v="1"/>
    <n v="13758"/>
    <n v="2447"/>
    <n v="0"/>
    <n v="12"/>
    <n v="3"/>
    <n v="2"/>
    <n v="80"/>
    <n v="0"/>
    <n v="22"/>
    <n v="2"/>
    <n v="21"/>
    <n v="9"/>
    <n v="13"/>
    <n v="14"/>
  </r>
  <r>
    <s v="No"/>
    <s v="Travel_Rarely"/>
    <x v="0"/>
    <s v="Current Employees"/>
    <x v="0"/>
    <x v="3"/>
    <x v="839"/>
    <x v="839"/>
    <x v="1"/>
    <x v="0"/>
    <x v="0"/>
    <s v="No"/>
    <s v="Y"/>
    <n v="3"/>
    <n v="-2"/>
    <n v="0"/>
    <n v="42"/>
    <n v="0"/>
    <m/>
    <n v="0"/>
    <n v="1"/>
    <n v="647"/>
    <n v="4"/>
    <x v="2"/>
    <n v="1"/>
    <n v="2"/>
    <n v="45"/>
    <n v="3"/>
    <n v="2"/>
    <n v="2"/>
    <n v="5155"/>
    <n v="2253"/>
    <n v="7"/>
    <n v="13"/>
    <n v="3"/>
    <n v="4"/>
    <n v="80"/>
    <n v="0"/>
    <n v="9"/>
    <n v="4"/>
    <n v="6"/>
    <n v="4"/>
    <n v="1"/>
    <n v="5"/>
  </r>
  <r>
    <s v="No"/>
    <s v="Travel_Rarely"/>
    <x v="0"/>
    <s v="Current Employees"/>
    <x v="1"/>
    <x v="2"/>
    <x v="840"/>
    <x v="840"/>
    <x v="1"/>
    <x v="2"/>
    <x v="1"/>
    <s v="No"/>
    <s v="Y"/>
    <n v="2"/>
    <n v="-2"/>
    <n v="0"/>
    <n v="35"/>
    <n v="0"/>
    <m/>
    <n v="0"/>
    <n v="1"/>
    <n v="982"/>
    <n v="1"/>
    <x v="2"/>
    <n v="1"/>
    <n v="4"/>
    <n v="58"/>
    <n v="2"/>
    <n v="1"/>
    <n v="3"/>
    <n v="2258"/>
    <n v="16340"/>
    <n v="6"/>
    <n v="12"/>
    <n v="3"/>
    <n v="2"/>
    <n v="80"/>
    <n v="1"/>
    <n v="10"/>
    <n v="3"/>
    <n v="8"/>
    <n v="0"/>
    <n v="1"/>
    <n v="7"/>
  </r>
  <r>
    <s v="No"/>
    <s v="Travel_Rarely"/>
    <x v="4"/>
    <s v="Current Employees"/>
    <x v="1"/>
    <x v="2"/>
    <x v="841"/>
    <x v="841"/>
    <x v="1"/>
    <x v="2"/>
    <x v="0"/>
    <s v="No"/>
    <s v="Y"/>
    <n v="2"/>
    <n v="-2"/>
    <n v="0"/>
    <n v="24"/>
    <n v="0"/>
    <m/>
    <n v="0"/>
    <n v="1"/>
    <n v="477"/>
    <n v="24"/>
    <x v="3"/>
    <n v="1"/>
    <n v="4"/>
    <n v="49"/>
    <n v="3"/>
    <n v="1"/>
    <n v="2"/>
    <n v="3597"/>
    <n v="6409"/>
    <n v="8"/>
    <n v="22"/>
    <n v="4"/>
    <n v="4"/>
    <n v="80"/>
    <n v="0"/>
    <n v="6"/>
    <n v="3"/>
    <n v="4"/>
    <n v="3"/>
    <n v="1"/>
    <n v="2"/>
  </r>
  <r>
    <s v="Yes"/>
    <s v="Travel_Rarely"/>
    <x v="2"/>
    <s v="Ex-Employees"/>
    <x v="1"/>
    <x v="0"/>
    <x v="842"/>
    <x v="842"/>
    <x v="0"/>
    <x v="2"/>
    <x v="1"/>
    <s v="Yes"/>
    <s v="Y"/>
    <n v="4"/>
    <n v="-2"/>
    <n v="0"/>
    <n v="28"/>
    <n v="1"/>
    <n v="1"/>
    <n v="1"/>
    <n v="0"/>
    <n v="1485"/>
    <n v="12"/>
    <x v="1"/>
    <n v="1"/>
    <n v="3"/>
    <n v="79"/>
    <n v="3"/>
    <n v="1"/>
    <n v="1"/>
    <n v="2515"/>
    <n v="22955"/>
    <n v="1"/>
    <n v="11"/>
    <n v="3"/>
    <n v="4"/>
    <n v="80"/>
    <n v="0"/>
    <n v="1"/>
    <n v="2"/>
    <n v="1"/>
    <n v="1"/>
    <n v="0"/>
    <n v="0"/>
  </r>
  <r>
    <s v="No"/>
    <s v="Travel_Rarely"/>
    <x v="2"/>
    <s v="Current Employees"/>
    <x v="1"/>
    <x v="2"/>
    <x v="843"/>
    <x v="843"/>
    <x v="1"/>
    <x v="2"/>
    <x v="1"/>
    <s v="No"/>
    <s v="Y"/>
    <n v="2"/>
    <n v="-2"/>
    <n v="0"/>
    <n v="26"/>
    <n v="0"/>
    <m/>
    <n v="0"/>
    <n v="1"/>
    <n v="1384"/>
    <n v="3"/>
    <x v="2"/>
    <n v="1"/>
    <n v="1"/>
    <n v="82"/>
    <n v="4"/>
    <n v="1"/>
    <n v="4"/>
    <n v="4420"/>
    <n v="13421"/>
    <n v="1"/>
    <n v="22"/>
    <n v="4"/>
    <n v="2"/>
    <n v="80"/>
    <n v="1"/>
    <n v="8"/>
    <n v="3"/>
    <n v="8"/>
    <n v="7"/>
    <n v="0"/>
    <n v="7"/>
  </r>
  <r>
    <s v="No"/>
    <s v="Travel_Rarely"/>
    <x v="2"/>
    <s v="Current Employees"/>
    <x v="0"/>
    <x v="3"/>
    <x v="844"/>
    <x v="844"/>
    <x v="1"/>
    <x v="0"/>
    <x v="1"/>
    <s v="No"/>
    <s v="Y"/>
    <n v="3"/>
    <n v="-2"/>
    <n v="0"/>
    <n v="30"/>
    <n v="0"/>
    <m/>
    <n v="0"/>
    <n v="1"/>
    <n v="852"/>
    <n v="10"/>
    <x v="3"/>
    <n v="1"/>
    <n v="3"/>
    <n v="72"/>
    <n v="2"/>
    <n v="2"/>
    <n v="2"/>
    <n v="6578"/>
    <n v="2706"/>
    <n v="1"/>
    <n v="18"/>
    <n v="3"/>
    <n v="1"/>
    <n v="80"/>
    <n v="1"/>
    <n v="10"/>
    <n v="3"/>
    <n v="10"/>
    <n v="3"/>
    <n v="1"/>
    <n v="4"/>
  </r>
  <r>
    <s v="No"/>
    <s v="Travel_Frequently"/>
    <x v="0"/>
    <s v="Current Employees"/>
    <x v="1"/>
    <x v="2"/>
    <x v="845"/>
    <x v="845"/>
    <x v="0"/>
    <x v="1"/>
    <x v="1"/>
    <s v="Yes"/>
    <s v="Y"/>
    <n v="3"/>
    <n v="-2"/>
    <n v="0"/>
    <n v="40"/>
    <n v="0"/>
    <m/>
    <n v="0"/>
    <n v="1"/>
    <n v="902"/>
    <n v="26"/>
    <x v="0"/>
    <n v="1"/>
    <n v="3"/>
    <n v="92"/>
    <n v="2"/>
    <n v="2"/>
    <n v="4"/>
    <n v="4422"/>
    <n v="21203"/>
    <n v="3"/>
    <n v="13"/>
    <n v="3"/>
    <n v="4"/>
    <n v="80"/>
    <n v="1"/>
    <n v="16"/>
    <n v="1"/>
    <n v="1"/>
    <n v="1"/>
    <n v="0"/>
    <n v="0"/>
  </r>
  <r>
    <s v="No"/>
    <s v="Travel_Rarely"/>
    <x v="0"/>
    <s v="Current Employees"/>
    <x v="1"/>
    <x v="0"/>
    <x v="846"/>
    <x v="846"/>
    <x v="1"/>
    <x v="3"/>
    <x v="2"/>
    <s v="No"/>
    <s v="Y"/>
    <n v="2"/>
    <n v="-2"/>
    <n v="0"/>
    <n v="35"/>
    <n v="0"/>
    <m/>
    <n v="0"/>
    <n v="1"/>
    <n v="819"/>
    <n v="2"/>
    <x v="3"/>
    <n v="1"/>
    <n v="3"/>
    <n v="44"/>
    <n v="2"/>
    <n v="3"/>
    <n v="1"/>
    <n v="10274"/>
    <n v="19588"/>
    <n v="2"/>
    <n v="18"/>
    <n v="3"/>
    <n v="2"/>
    <n v="80"/>
    <n v="1"/>
    <n v="15"/>
    <n v="4"/>
    <n v="7"/>
    <n v="7"/>
    <n v="6"/>
    <n v="4"/>
  </r>
  <r>
    <s v="No"/>
    <s v="Travel_Frequently"/>
    <x v="2"/>
    <s v="Current Employees"/>
    <x v="1"/>
    <x v="2"/>
    <x v="847"/>
    <x v="847"/>
    <x v="1"/>
    <x v="4"/>
    <x v="0"/>
    <s v="No"/>
    <s v="Y"/>
    <n v="3"/>
    <n v="-2"/>
    <n v="0"/>
    <n v="34"/>
    <n v="0"/>
    <m/>
    <n v="0"/>
    <n v="1"/>
    <n v="669"/>
    <n v="1"/>
    <x v="3"/>
    <n v="1"/>
    <n v="4"/>
    <n v="97"/>
    <n v="2"/>
    <n v="2"/>
    <n v="3"/>
    <n v="5343"/>
    <n v="25755"/>
    <n v="0"/>
    <n v="20"/>
    <n v="4"/>
    <n v="3"/>
    <n v="80"/>
    <n v="0"/>
    <n v="14"/>
    <n v="3"/>
    <n v="13"/>
    <n v="9"/>
    <n v="4"/>
    <n v="9"/>
  </r>
  <r>
    <s v="No"/>
    <s v="Travel_Frequently"/>
    <x v="0"/>
    <s v="Current Employees"/>
    <x v="1"/>
    <x v="1"/>
    <x v="848"/>
    <x v="848"/>
    <x v="1"/>
    <x v="2"/>
    <x v="1"/>
    <s v="No"/>
    <s v="Y"/>
    <n v="2"/>
    <n v="-2"/>
    <n v="0"/>
    <n v="35"/>
    <n v="0"/>
    <m/>
    <n v="0"/>
    <n v="1"/>
    <n v="636"/>
    <n v="4"/>
    <x v="2"/>
    <n v="1"/>
    <n v="4"/>
    <n v="47"/>
    <n v="2"/>
    <n v="1"/>
    <n v="4"/>
    <n v="2376"/>
    <n v="26537"/>
    <n v="1"/>
    <n v="13"/>
    <n v="3"/>
    <n v="2"/>
    <n v="80"/>
    <n v="1"/>
    <n v="2"/>
    <n v="4"/>
    <n v="2"/>
    <n v="2"/>
    <n v="2"/>
    <n v="2"/>
  </r>
  <r>
    <s v="Yes"/>
    <s v="Travel_Rarely"/>
    <x v="0"/>
    <s v="Ex-Employees"/>
    <x v="0"/>
    <x v="3"/>
    <x v="849"/>
    <x v="849"/>
    <x v="0"/>
    <x v="0"/>
    <x v="0"/>
    <s v="No"/>
    <s v="Y"/>
    <n v="2"/>
    <n v="-2"/>
    <n v="0"/>
    <n v="43"/>
    <n v="1"/>
    <n v="1"/>
    <n v="1"/>
    <n v="0"/>
    <n v="1372"/>
    <n v="9"/>
    <x v="3"/>
    <n v="1"/>
    <n v="1"/>
    <n v="85"/>
    <n v="1"/>
    <n v="2"/>
    <n v="2"/>
    <n v="5346"/>
    <n v="9489"/>
    <n v="8"/>
    <n v="13"/>
    <n v="3"/>
    <n v="2"/>
    <n v="80"/>
    <n v="0"/>
    <n v="7"/>
    <n v="2"/>
    <n v="4"/>
    <n v="3"/>
    <n v="1"/>
    <n v="3"/>
  </r>
  <r>
    <s v="No"/>
    <s v="Non-Travel"/>
    <x v="2"/>
    <s v="Current Employees"/>
    <x v="0"/>
    <x v="0"/>
    <x v="850"/>
    <x v="850"/>
    <x v="0"/>
    <x v="6"/>
    <x v="2"/>
    <s v="No"/>
    <s v="Y"/>
    <n v="3"/>
    <n v="-2"/>
    <n v="0"/>
    <n v="32"/>
    <n v="0"/>
    <m/>
    <n v="0"/>
    <n v="1"/>
    <n v="862"/>
    <n v="2"/>
    <x v="1"/>
    <n v="1"/>
    <n v="3"/>
    <n v="76"/>
    <n v="3"/>
    <n v="1"/>
    <n v="1"/>
    <n v="2827"/>
    <n v="14947"/>
    <n v="1"/>
    <n v="12"/>
    <n v="3"/>
    <n v="3"/>
    <n v="80"/>
    <n v="3"/>
    <n v="1"/>
    <n v="3"/>
    <n v="1"/>
    <n v="0"/>
    <n v="0"/>
    <n v="0"/>
  </r>
  <r>
    <s v="No"/>
    <s v="Travel_Rarely"/>
    <x v="3"/>
    <s v="Current Employees"/>
    <x v="1"/>
    <x v="4"/>
    <x v="851"/>
    <x v="851"/>
    <x v="0"/>
    <x v="5"/>
    <x v="2"/>
    <s v="No"/>
    <s v="Y"/>
    <n v="2"/>
    <n v="-2"/>
    <n v="0"/>
    <n v="56"/>
    <n v="0"/>
    <m/>
    <n v="0"/>
    <n v="1"/>
    <n v="718"/>
    <n v="4"/>
    <x v="2"/>
    <n v="1"/>
    <n v="4"/>
    <n v="92"/>
    <n v="3"/>
    <n v="5"/>
    <n v="4"/>
    <n v="19943"/>
    <n v="18575"/>
    <n v="4"/>
    <n v="13"/>
    <n v="3"/>
    <n v="4"/>
    <n v="80"/>
    <n v="1"/>
    <n v="28"/>
    <n v="3"/>
    <n v="5"/>
    <n v="2"/>
    <n v="4"/>
    <n v="2"/>
  </r>
  <r>
    <s v="No"/>
    <s v="Travel_Rarely"/>
    <x v="2"/>
    <s v="Current Employees"/>
    <x v="1"/>
    <x v="2"/>
    <x v="852"/>
    <x v="852"/>
    <x v="0"/>
    <x v="2"/>
    <x v="1"/>
    <s v="No"/>
    <s v="Y"/>
    <n v="5"/>
    <n v="-2"/>
    <n v="0"/>
    <n v="29"/>
    <n v="0"/>
    <m/>
    <n v="0"/>
    <n v="1"/>
    <n v="1401"/>
    <n v="6"/>
    <x v="1"/>
    <n v="1"/>
    <n v="2"/>
    <n v="54"/>
    <n v="3"/>
    <n v="1"/>
    <n v="4"/>
    <n v="3131"/>
    <n v="26342"/>
    <n v="1"/>
    <n v="13"/>
    <n v="3"/>
    <n v="1"/>
    <n v="80"/>
    <n v="1"/>
    <n v="10"/>
    <n v="3"/>
    <n v="10"/>
    <n v="8"/>
    <n v="0"/>
    <n v="8"/>
  </r>
  <r>
    <s v="No"/>
    <s v="Travel_Rarely"/>
    <x v="4"/>
    <s v="Current Employees"/>
    <x v="1"/>
    <x v="0"/>
    <x v="853"/>
    <x v="853"/>
    <x v="1"/>
    <x v="1"/>
    <x v="0"/>
    <s v="No"/>
    <s v="Y"/>
    <n v="4"/>
    <n v="-2"/>
    <n v="0"/>
    <n v="19"/>
    <n v="0"/>
    <m/>
    <n v="0"/>
    <n v="1"/>
    <n v="645"/>
    <n v="9"/>
    <x v="0"/>
    <n v="1"/>
    <n v="3"/>
    <n v="54"/>
    <n v="3"/>
    <n v="1"/>
    <n v="1"/>
    <n v="2552"/>
    <n v="7172"/>
    <n v="1"/>
    <n v="25"/>
    <n v="4"/>
    <n v="3"/>
    <n v="80"/>
    <n v="0"/>
    <n v="1"/>
    <n v="3"/>
    <n v="1"/>
    <n v="1"/>
    <n v="0"/>
    <n v="0"/>
  </r>
  <r>
    <s v="No"/>
    <s v="Travel_Rarely"/>
    <x v="1"/>
    <s v="Current Employees"/>
    <x v="1"/>
    <x v="2"/>
    <x v="854"/>
    <x v="854"/>
    <x v="0"/>
    <x v="1"/>
    <x v="1"/>
    <s v="Yes"/>
    <s v="Y"/>
    <n v="2"/>
    <n v="-2"/>
    <n v="0"/>
    <n v="45"/>
    <n v="0"/>
    <m/>
    <n v="0"/>
    <n v="1"/>
    <n v="1457"/>
    <n v="7"/>
    <x v="3"/>
    <n v="1"/>
    <n v="1"/>
    <n v="83"/>
    <n v="3"/>
    <n v="1"/>
    <n v="3"/>
    <n v="4477"/>
    <n v="20100"/>
    <n v="4"/>
    <n v="19"/>
    <n v="3"/>
    <n v="3"/>
    <n v="80"/>
    <n v="1"/>
    <n v="7"/>
    <n v="2"/>
    <n v="3"/>
    <n v="2"/>
    <n v="0"/>
    <n v="2"/>
  </r>
  <r>
    <s v="No"/>
    <s v="Travel_Rarely"/>
    <x v="0"/>
    <s v="Current Employees"/>
    <x v="1"/>
    <x v="0"/>
    <x v="855"/>
    <x v="855"/>
    <x v="0"/>
    <x v="3"/>
    <x v="1"/>
    <s v="No"/>
    <s v="Y"/>
    <n v="2"/>
    <n v="-2"/>
    <n v="0"/>
    <n v="37"/>
    <n v="0"/>
    <m/>
    <n v="0"/>
    <n v="1"/>
    <n v="977"/>
    <n v="1"/>
    <x v="3"/>
    <n v="1"/>
    <n v="4"/>
    <n v="56"/>
    <n v="2"/>
    <n v="2"/>
    <n v="1"/>
    <n v="6474"/>
    <n v="9961"/>
    <n v="1"/>
    <n v="13"/>
    <n v="3"/>
    <n v="2"/>
    <n v="80"/>
    <n v="1"/>
    <n v="14"/>
    <n v="2"/>
    <n v="14"/>
    <n v="8"/>
    <n v="3"/>
    <n v="11"/>
  </r>
  <r>
    <s v="No"/>
    <s v="Travel_Rarely"/>
    <x v="4"/>
    <s v="Current Employees"/>
    <x v="1"/>
    <x v="0"/>
    <x v="856"/>
    <x v="856"/>
    <x v="1"/>
    <x v="2"/>
    <x v="0"/>
    <s v="No"/>
    <s v="Y"/>
    <n v="2"/>
    <n v="-2"/>
    <n v="0"/>
    <n v="20"/>
    <n v="0"/>
    <m/>
    <n v="0"/>
    <n v="1"/>
    <n v="805"/>
    <n v="3"/>
    <x v="3"/>
    <n v="1"/>
    <n v="1"/>
    <n v="87"/>
    <n v="2"/>
    <n v="1"/>
    <n v="1"/>
    <n v="3033"/>
    <n v="12828"/>
    <n v="1"/>
    <n v="12"/>
    <n v="3"/>
    <n v="1"/>
    <n v="80"/>
    <n v="0"/>
    <n v="2"/>
    <n v="2"/>
    <n v="2"/>
    <n v="2"/>
    <n v="1"/>
    <n v="2"/>
  </r>
  <r>
    <s v="Yes"/>
    <s v="Travel_Rarely"/>
    <x v="0"/>
    <s v="Ex-Employees"/>
    <x v="1"/>
    <x v="0"/>
    <x v="857"/>
    <x v="857"/>
    <x v="1"/>
    <x v="1"/>
    <x v="0"/>
    <s v="Yes"/>
    <s v="Y"/>
    <n v="4"/>
    <n v="-2"/>
    <n v="0"/>
    <n v="44"/>
    <n v="1"/>
    <n v="1"/>
    <n v="1"/>
    <n v="0"/>
    <n v="1097"/>
    <n v="10"/>
    <x v="2"/>
    <n v="1"/>
    <n v="3"/>
    <n v="96"/>
    <n v="3"/>
    <n v="1"/>
    <n v="1"/>
    <n v="2936"/>
    <n v="10826"/>
    <n v="1"/>
    <n v="11"/>
    <n v="3"/>
    <n v="3"/>
    <n v="80"/>
    <n v="0"/>
    <n v="6"/>
    <n v="3"/>
    <n v="6"/>
    <n v="4"/>
    <n v="0"/>
    <n v="2"/>
  </r>
  <r>
    <s v="No"/>
    <s v="Travel_Rarely"/>
    <x v="1"/>
    <s v="Current Employees"/>
    <x v="1"/>
    <x v="2"/>
    <x v="858"/>
    <x v="858"/>
    <x v="0"/>
    <x v="5"/>
    <x v="2"/>
    <s v="No"/>
    <s v="Y"/>
    <n v="6"/>
    <n v="-2"/>
    <n v="0"/>
    <n v="53"/>
    <n v="0"/>
    <m/>
    <n v="0"/>
    <n v="1"/>
    <n v="1223"/>
    <n v="7"/>
    <x v="0"/>
    <n v="1"/>
    <n v="4"/>
    <n v="50"/>
    <n v="3"/>
    <n v="5"/>
    <n v="3"/>
    <n v="18606"/>
    <n v="18640"/>
    <n v="3"/>
    <n v="18"/>
    <n v="3"/>
    <n v="2"/>
    <n v="80"/>
    <n v="1"/>
    <n v="26"/>
    <n v="3"/>
    <n v="7"/>
    <n v="7"/>
    <n v="4"/>
    <n v="7"/>
  </r>
  <r>
    <s v="No"/>
    <s v="Travel_Rarely"/>
    <x v="2"/>
    <s v="Current Employees"/>
    <x v="1"/>
    <x v="0"/>
    <x v="859"/>
    <x v="859"/>
    <x v="0"/>
    <x v="1"/>
    <x v="1"/>
    <s v="Yes"/>
    <s v="Y"/>
    <n v="2"/>
    <n v="-2"/>
    <n v="0"/>
    <n v="29"/>
    <n v="0"/>
    <m/>
    <n v="0"/>
    <n v="1"/>
    <n v="942"/>
    <n v="15"/>
    <x v="1"/>
    <n v="1"/>
    <n v="2"/>
    <n v="69"/>
    <n v="1"/>
    <n v="1"/>
    <n v="1"/>
    <n v="2168"/>
    <n v="26933"/>
    <n v="0"/>
    <n v="18"/>
    <n v="3"/>
    <n v="1"/>
    <n v="80"/>
    <n v="1"/>
    <n v="6"/>
    <n v="2"/>
    <n v="5"/>
    <n v="4"/>
    <n v="1"/>
    <n v="3"/>
  </r>
  <r>
    <s v="Yes"/>
    <s v="Travel_Frequently"/>
    <x v="4"/>
    <s v="Ex-Employees"/>
    <x v="1"/>
    <x v="0"/>
    <x v="860"/>
    <x v="860"/>
    <x v="1"/>
    <x v="1"/>
    <x v="1"/>
    <s v="Yes"/>
    <s v="Y"/>
    <n v="5"/>
    <n v="-2"/>
    <n v="0"/>
    <n v="22"/>
    <n v="1"/>
    <n v="1"/>
    <n v="1"/>
    <n v="0"/>
    <n v="1256"/>
    <n v="3"/>
    <x v="2"/>
    <n v="1"/>
    <n v="3"/>
    <n v="48"/>
    <n v="2"/>
    <n v="1"/>
    <n v="1"/>
    <n v="2853"/>
    <n v="4223"/>
    <n v="0"/>
    <n v="11"/>
    <n v="3"/>
    <n v="2"/>
    <n v="80"/>
    <n v="1"/>
    <n v="1"/>
    <n v="3"/>
    <n v="0"/>
    <n v="0"/>
    <n v="0"/>
    <n v="0"/>
  </r>
  <r>
    <s v="No"/>
    <s v="Travel_Rarely"/>
    <x v="1"/>
    <s v="Current Employees"/>
    <x v="0"/>
    <x v="3"/>
    <x v="861"/>
    <x v="861"/>
    <x v="0"/>
    <x v="5"/>
    <x v="1"/>
    <s v="No"/>
    <s v="Y"/>
    <n v="2"/>
    <n v="-2"/>
    <n v="0"/>
    <n v="46"/>
    <n v="0"/>
    <m/>
    <n v="0"/>
    <n v="1"/>
    <n v="1402"/>
    <n v="2"/>
    <x v="3"/>
    <n v="1"/>
    <n v="3"/>
    <n v="69"/>
    <n v="3"/>
    <n v="4"/>
    <n v="2"/>
    <n v="17048"/>
    <n v="24097"/>
    <n v="8"/>
    <n v="23"/>
    <n v="4"/>
    <n v="1"/>
    <n v="80"/>
    <n v="0"/>
    <n v="28"/>
    <n v="3"/>
    <n v="26"/>
    <n v="15"/>
    <n v="15"/>
    <n v="9"/>
  </r>
  <r>
    <s v="No"/>
    <s v="Non-Travel"/>
    <x v="0"/>
    <s v="Current Employees"/>
    <x v="1"/>
    <x v="0"/>
    <x v="862"/>
    <x v="862"/>
    <x v="1"/>
    <x v="1"/>
    <x v="0"/>
    <s v="No"/>
    <s v="Y"/>
    <n v="3"/>
    <n v="-2"/>
    <n v="0"/>
    <n v="44"/>
    <n v="0"/>
    <m/>
    <n v="0"/>
    <n v="1"/>
    <n v="111"/>
    <n v="17"/>
    <x v="3"/>
    <n v="1"/>
    <n v="4"/>
    <n v="74"/>
    <n v="1"/>
    <n v="1"/>
    <n v="1"/>
    <n v="2290"/>
    <n v="4279"/>
    <n v="2"/>
    <n v="13"/>
    <n v="3"/>
    <n v="4"/>
    <n v="80"/>
    <n v="0"/>
    <n v="6"/>
    <n v="3"/>
    <n v="0"/>
    <n v="0"/>
    <n v="0"/>
    <n v="0"/>
  </r>
  <r>
    <s v="No"/>
    <s v="Travel_Rarely"/>
    <x v="2"/>
    <s v="Current Employees"/>
    <x v="2"/>
    <x v="5"/>
    <x v="863"/>
    <x v="863"/>
    <x v="1"/>
    <x v="8"/>
    <x v="1"/>
    <s v="No"/>
    <s v="Y"/>
    <n v="2"/>
    <n v="-2"/>
    <n v="0"/>
    <n v="33"/>
    <n v="0"/>
    <m/>
    <n v="0"/>
    <n v="1"/>
    <n v="147"/>
    <n v="2"/>
    <x v="3"/>
    <n v="1"/>
    <n v="2"/>
    <n v="99"/>
    <n v="3"/>
    <n v="1"/>
    <n v="3"/>
    <n v="3600"/>
    <n v="8429"/>
    <n v="1"/>
    <n v="13"/>
    <n v="3"/>
    <n v="4"/>
    <n v="80"/>
    <n v="1"/>
    <n v="5"/>
    <n v="3"/>
    <n v="5"/>
    <n v="4"/>
    <n v="1"/>
    <n v="4"/>
  </r>
  <r>
    <s v="Yes"/>
    <s v="Non-Travel"/>
    <x v="0"/>
    <s v="Ex-Employees"/>
    <x v="1"/>
    <x v="0"/>
    <x v="864"/>
    <x v="864"/>
    <x v="1"/>
    <x v="1"/>
    <x v="2"/>
    <s v="No"/>
    <s v="Y"/>
    <n v="2"/>
    <n v="-2"/>
    <n v="0"/>
    <n v="41"/>
    <n v="1"/>
    <n v="1"/>
    <n v="1"/>
    <n v="0"/>
    <n v="906"/>
    <n v="5"/>
    <x v="0"/>
    <n v="1"/>
    <n v="1"/>
    <n v="95"/>
    <n v="2"/>
    <n v="1"/>
    <n v="1"/>
    <n v="2107"/>
    <n v="20293"/>
    <n v="6"/>
    <n v="17"/>
    <n v="3"/>
    <n v="1"/>
    <n v="80"/>
    <n v="1"/>
    <n v="5"/>
    <n v="1"/>
    <n v="1"/>
    <n v="0"/>
    <n v="0"/>
    <n v="0"/>
  </r>
  <r>
    <s v="No"/>
    <s v="Travel_Rarely"/>
    <x v="2"/>
    <s v="Current Employees"/>
    <x v="0"/>
    <x v="0"/>
    <x v="865"/>
    <x v="865"/>
    <x v="1"/>
    <x v="0"/>
    <x v="2"/>
    <s v="No"/>
    <s v="Y"/>
    <n v="3"/>
    <n v="-2"/>
    <n v="0"/>
    <n v="30"/>
    <n v="0"/>
    <m/>
    <n v="0"/>
    <n v="1"/>
    <n v="1329"/>
    <n v="29"/>
    <x v="2"/>
    <n v="1"/>
    <n v="3"/>
    <n v="61"/>
    <n v="3"/>
    <n v="2"/>
    <n v="1"/>
    <n v="4115"/>
    <n v="13192"/>
    <n v="8"/>
    <n v="19"/>
    <n v="3"/>
    <n v="3"/>
    <n v="80"/>
    <n v="3"/>
    <n v="8"/>
    <n v="3"/>
    <n v="4"/>
    <n v="3"/>
    <n v="0"/>
    <n v="3"/>
  </r>
  <r>
    <s v="No"/>
    <s v="Travel_Frequently"/>
    <x v="0"/>
    <s v="Current Employees"/>
    <x v="0"/>
    <x v="2"/>
    <x v="866"/>
    <x v="866"/>
    <x v="1"/>
    <x v="0"/>
    <x v="1"/>
    <s v="No"/>
    <s v="Y"/>
    <n v="2"/>
    <n v="-2"/>
    <n v="0"/>
    <n v="40"/>
    <n v="0"/>
    <m/>
    <n v="0"/>
    <n v="1"/>
    <n v="1184"/>
    <n v="2"/>
    <x v="2"/>
    <n v="1"/>
    <n v="2"/>
    <n v="62"/>
    <n v="3"/>
    <n v="2"/>
    <n v="2"/>
    <n v="4327"/>
    <n v="25440"/>
    <n v="5"/>
    <n v="12"/>
    <n v="3"/>
    <n v="4"/>
    <n v="80"/>
    <n v="3"/>
    <n v="5"/>
    <n v="3"/>
    <n v="0"/>
    <n v="0"/>
    <n v="0"/>
    <n v="0"/>
  </r>
  <r>
    <s v="No"/>
    <s v="Travel_Frequently"/>
    <x v="1"/>
    <s v="Current Employees"/>
    <x v="1"/>
    <x v="2"/>
    <x v="867"/>
    <x v="867"/>
    <x v="0"/>
    <x v="5"/>
    <x v="1"/>
    <s v="No"/>
    <s v="Y"/>
    <n v="3"/>
    <n v="-2"/>
    <n v="0"/>
    <n v="50"/>
    <n v="0"/>
    <m/>
    <n v="0"/>
    <n v="1"/>
    <n v="1421"/>
    <n v="2"/>
    <x v="3"/>
    <n v="1"/>
    <n v="4"/>
    <n v="30"/>
    <n v="3"/>
    <n v="4"/>
    <n v="3"/>
    <n v="17856"/>
    <n v="9490"/>
    <n v="2"/>
    <n v="22"/>
    <n v="4"/>
    <n v="3"/>
    <n v="80"/>
    <n v="1"/>
    <n v="32"/>
    <n v="3"/>
    <n v="2"/>
    <n v="2"/>
    <n v="2"/>
    <n v="2"/>
  </r>
  <r>
    <s v="No"/>
    <s v="Travel_Rarely"/>
    <x v="2"/>
    <s v="Current Employees"/>
    <x v="1"/>
    <x v="2"/>
    <x v="868"/>
    <x v="868"/>
    <x v="1"/>
    <x v="2"/>
    <x v="1"/>
    <s v="No"/>
    <s v="Y"/>
    <n v="2"/>
    <n v="-2"/>
    <n v="0"/>
    <n v="28"/>
    <n v="0"/>
    <m/>
    <n v="0"/>
    <n v="1"/>
    <n v="1179"/>
    <n v="19"/>
    <x v="2"/>
    <n v="1"/>
    <n v="4"/>
    <n v="78"/>
    <n v="2"/>
    <n v="1"/>
    <n v="3"/>
    <n v="3196"/>
    <n v="12449"/>
    <n v="1"/>
    <n v="12"/>
    <n v="3"/>
    <n v="3"/>
    <n v="80"/>
    <n v="3"/>
    <n v="6"/>
    <n v="3"/>
    <n v="6"/>
    <n v="5"/>
    <n v="3"/>
    <n v="3"/>
  </r>
  <r>
    <s v="No"/>
    <s v="Travel_Rarely"/>
    <x v="1"/>
    <s v="Current Employees"/>
    <x v="1"/>
    <x v="0"/>
    <x v="869"/>
    <x v="869"/>
    <x v="1"/>
    <x v="7"/>
    <x v="1"/>
    <s v="No"/>
    <s v="Y"/>
    <n v="2"/>
    <n v="-2"/>
    <n v="0"/>
    <n v="46"/>
    <n v="0"/>
    <m/>
    <n v="0"/>
    <n v="1"/>
    <n v="1450"/>
    <n v="15"/>
    <x v="0"/>
    <n v="1"/>
    <n v="4"/>
    <n v="52"/>
    <n v="3"/>
    <n v="5"/>
    <n v="1"/>
    <n v="19081"/>
    <n v="10849"/>
    <n v="5"/>
    <n v="11"/>
    <n v="3"/>
    <n v="1"/>
    <n v="80"/>
    <n v="1"/>
    <n v="25"/>
    <n v="3"/>
    <n v="4"/>
    <n v="2"/>
    <n v="0"/>
    <n v="3"/>
  </r>
  <r>
    <s v="No"/>
    <s v="Travel_Rarely"/>
    <x v="0"/>
    <s v="Current Employees"/>
    <x v="0"/>
    <x v="0"/>
    <x v="870"/>
    <x v="870"/>
    <x v="1"/>
    <x v="0"/>
    <x v="1"/>
    <s v="Yes"/>
    <s v="Y"/>
    <n v="2"/>
    <n v="-2"/>
    <n v="0"/>
    <n v="35"/>
    <n v="0"/>
    <m/>
    <n v="0"/>
    <n v="1"/>
    <n v="1361"/>
    <n v="17"/>
    <x v="2"/>
    <n v="1"/>
    <n v="3"/>
    <n v="94"/>
    <n v="3"/>
    <n v="2"/>
    <n v="1"/>
    <n v="8966"/>
    <n v="21026"/>
    <n v="3"/>
    <n v="15"/>
    <n v="3"/>
    <n v="4"/>
    <n v="80"/>
    <n v="3"/>
    <n v="15"/>
    <n v="3"/>
    <n v="7"/>
    <n v="7"/>
    <n v="1"/>
    <n v="7"/>
  </r>
  <r>
    <s v="Yes"/>
    <s v="Travel_Rarely"/>
    <x v="4"/>
    <s v="Ex-Employees"/>
    <x v="1"/>
    <x v="0"/>
    <x v="871"/>
    <x v="871"/>
    <x v="0"/>
    <x v="2"/>
    <x v="1"/>
    <s v="No"/>
    <s v="Y"/>
    <n v="3"/>
    <n v="-2"/>
    <n v="0"/>
    <n v="24"/>
    <n v="1"/>
    <n v="1"/>
    <n v="1"/>
    <n v="0"/>
    <n v="984"/>
    <n v="17"/>
    <x v="0"/>
    <n v="1"/>
    <n v="4"/>
    <n v="97"/>
    <n v="3"/>
    <n v="1"/>
    <n v="1"/>
    <n v="2210"/>
    <n v="3372"/>
    <n v="1"/>
    <n v="13"/>
    <n v="3"/>
    <n v="1"/>
    <n v="80"/>
    <n v="1"/>
    <n v="1"/>
    <n v="1"/>
    <n v="1"/>
    <n v="0"/>
    <n v="0"/>
    <n v="0"/>
  </r>
  <r>
    <s v="No"/>
    <s v="Travel_Frequently"/>
    <x v="2"/>
    <s v="Current Employees"/>
    <x v="0"/>
    <x v="2"/>
    <x v="872"/>
    <x v="872"/>
    <x v="0"/>
    <x v="0"/>
    <x v="1"/>
    <s v="No"/>
    <s v="Y"/>
    <n v="3"/>
    <n v="-2"/>
    <n v="0"/>
    <n v="33"/>
    <n v="0"/>
    <m/>
    <n v="0"/>
    <n v="1"/>
    <n v="1146"/>
    <n v="25"/>
    <x v="3"/>
    <n v="1"/>
    <n v="2"/>
    <n v="82"/>
    <n v="3"/>
    <n v="2"/>
    <n v="3"/>
    <n v="4539"/>
    <n v="4905"/>
    <n v="1"/>
    <n v="12"/>
    <n v="3"/>
    <n v="1"/>
    <n v="80"/>
    <n v="1"/>
    <n v="10"/>
    <n v="2"/>
    <n v="10"/>
    <n v="7"/>
    <n v="0"/>
    <n v="1"/>
  </r>
  <r>
    <s v="No"/>
    <s v="Travel_Rarely"/>
    <x v="0"/>
    <s v="Current Employees"/>
    <x v="1"/>
    <x v="0"/>
    <x v="873"/>
    <x v="873"/>
    <x v="1"/>
    <x v="2"/>
    <x v="2"/>
    <s v="No"/>
    <s v="Y"/>
    <n v="4"/>
    <n v="-2"/>
    <n v="0"/>
    <n v="36"/>
    <n v="0"/>
    <m/>
    <n v="0"/>
    <n v="1"/>
    <n v="917"/>
    <n v="6"/>
    <x v="2"/>
    <n v="1"/>
    <n v="3"/>
    <n v="60"/>
    <n v="1"/>
    <n v="1"/>
    <n v="1"/>
    <n v="2741"/>
    <n v="6865"/>
    <n v="1"/>
    <n v="14"/>
    <n v="3"/>
    <n v="3"/>
    <n v="80"/>
    <n v="1"/>
    <n v="7"/>
    <n v="3"/>
    <n v="7"/>
    <n v="7"/>
    <n v="1"/>
    <n v="7"/>
  </r>
  <r>
    <s v="No"/>
    <s v="Travel_Rarely"/>
    <x v="2"/>
    <s v="Current Employees"/>
    <x v="1"/>
    <x v="0"/>
    <x v="874"/>
    <x v="874"/>
    <x v="1"/>
    <x v="2"/>
    <x v="2"/>
    <s v="No"/>
    <s v="Y"/>
    <n v="4"/>
    <n v="-2"/>
    <n v="0"/>
    <n v="30"/>
    <n v="0"/>
    <m/>
    <n v="0"/>
    <n v="1"/>
    <n v="853"/>
    <n v="7"/>
    <x v="2"/>
    <n v="1"/>
    <n v="3"/>
    <n v="49"/>
    <n v="3"/>
    <n v="2"/>
    <n v="1"/>
    <n v="3491"/>
    <n v="11309"/>
    <n v="1"/>
    <n v="13"/>
    <n v="3"/>
    <n v="1"/>
    <n v="80"/>
    <n v="3"/>
    <n v="10"/>
    <n v="2"/>
    <n v="10"/>
    <n v="7"/>
    <n v="8"/>
    <n v="9"/>
  </r>
  <r>
    <s v="No"/>
    <s v="Travel_Rarely"/>
    <x v="0"/>
    <s v="Current Employees"/>
    <x v="1"/>
    <x v="1"/>
    <x v="875"/>
    <x v="875"/>
    <x v="1"/>
    <x v="1"/>
    <x v="0"/>
    <s v="No"/>
    <s v="Y"/>
    <n v="3"/>
    <n v="-2"/>
    <n v="0"/>
    <n v="44"/>
    <n v="0"/>
    <m/>
    <n v="0"/>
    <n v="1"/>
    <n v="200"/>
    <n v="29"/>
    <x v="2"/>
    <n v="1"/>
    <n v="4"/>
    <n v="32"/>
    <n v="3"/>
    <n v="2"/>
    <n v="4"/>
    <n v="4541"/>
    <n v="7744"/>
    <n v="1"/>
    <n v="25"/>
    <n v="4"/>
    <n v="2"/>
    <n v="80"/>
    <n v="0"/>
    <n v="20"/>
    <n v="3"/>
    <n v="20"/>
    <n v="11"/>
    <n v="13"/>
    <n v="17"/>
  </r>
  <r>
    <s v="No"/>
    <s v="Travel_Rarely"/>
    <x v="4"/>
    <s v="Current Employees"/>
    <x v="0"/>
    <x v="3"/>
    <x v="876"/>
    <x v="876"/>
    <x v="1"/>
    <x v="6"/>
    <x v="0"/>
    <s v="No"/>
    <s v="Y"/>
    <n v="2"/>
    <n v="-2"/>
    <n v="0"/>
    <n v="20"/>
    <n v="0"/>
    <m/>
    <n v="0"/>
    <n v="1"/>
    <n v="654"/>
    <n v="21"/>
    <x v="3"/>
    <n v="1"/>
    <n v="3"/>
    <n v="43"/>
    <n v="4"/>
    <n v="1"/>
    <n v="2"/>
    <n v="2678"/>
    <n v="5050"/>
    <n v="1"/>
    <n v="17"/>
    <n v="3"/>
    <n v="4"/>
    <n v="80"/>
    <n v="0"/>
    <n v="2"/>
    <n v="3"/>
    <n v="2"/>
    <n v="1"/>
    <n v="2"/>
    <n v="2"/>
  </r>
  <r>
    <s v="No"/>
    <s v="Travel_Rarely"/>
    <x v="1"/>
    <s v="Current Employees"/>
    <x v="1"/>
    <x v="4"/>
    <x v="877"/>
    <x v="877"/>
    <x v="1"/>
    <x v="3"/>
    <x v="2"/>
    <s v="No"/>
    <s v="Y"/>
    <n v="3"/>
    <n v="-2"/>
    <n v="0"/>
    <n v="46"/>
    <n v="0"/>
    <m/>
    <n v="0"/>
    <n v="1"/>
    <n v="150"/>
    <n v="2"/>
    <x v="2"/>
    <n v="1"/>
    <n v="4"/>
    <n v="60"/>
    <n v="3"/>
    <n v="2"/>
    <n v="4"/>
    <n v="7379"/>
    <n v="17433"/>
    <n v="2"/>
    <n v="11"/>
    <n v="3"/>
    <n v="3"/>
    <n v="80"/>
    <n v="1"/>
    <n v="12"/>
    <n v="2"/>
    <n v="6"/>
    <n v="3"/>
    <n v="1"/>
    <n v="4"/>
  </r>
  <r>
    <s v="No"/>
    <s v="Non-Travel"/>
    <x v="0"/>
    <s v="Current Employees"/>
    <x v="2"/>
    <x v="2"/>
    <x v="878"/>
    <x v="878"/>
    <x v="1"/>
    <x v="8"/>
    <x v="1"/>
    <s v="No"/>
    <s v="Y"/>
    <n v="3"/>
    <n v="-2"/>
    <n v="0"/>
    <n v="42"/>
    <n v="0"/>
    <m/>
    <n v="0"/>
    <n v="1"/>
    <n v="179"/>
    <n v="2"/>
    <x v="4"/>
    <n v="1"/>
    <n v="4"/>
    <n v="79"/>
    <n v="4"/>
    <n v="2"/>
    <n v="3"/>
    <n v="6272"/>
    <n v="12858"/>
    <n v="7"/>
    <n v="16"/>
    <n v="3"/>
    <n v="1"/>
    <n v="80"/>
    <n v="1"/>
    <n v="10"/>
    <n v="4"/>
    <n v="4"/>
    <n v="3"/>
    <n v="0"/>
    <n v="3"/>
  </r>
  <r>
    <s v="No"/>
    <s v="Travel_Rarely"/>
    <x v="3"/>
    <s v="Current Employees"/>
    <x v="0"/>
    <x v="3"/>
    <x v="879"/>
    <x v="879"/>
    <x v="1"/>
    <x v="0"/>
    <x v="2"/>
    <s v="Yes"/>
    <s v="Y"/>
    <n v="3"/>
    <n v="-2"/>
    <n v="0"/>
    <n v="60"/>
    <n v="0"/>
    <m/>
    <n v="0"/>
    <n v="1"/>
    <n v="696"/>
    <n v="7"/>
    <x v="2"/>
    <n v="1"/>
    <n v="2"/>
    <n v="52"/>
    <n v="4"/>
    <n v="2"/>
    <n v="2"/>
    <n v="5220"/>
    <n v="10893"/>
    <n v="0"/>
    <n v="18"/>
    <n v="3"/>
    <n v="2"/>
    <n v="80"/>
    <n v="1"/>
    <n v="12"/>
    <n v="3"/>
    <n v="11"/>
    <n v="7"/>
    <n v="1"/>
    <n v="9"/>
  </r>
  <r>
    <s v="No"/>
    <s v="Travel_Frequently"/>
    <x v="2"/>
    <s v="Current Employees"/>
    <x v="1"/>
    <x v="1"/>
    <x v="880"/>
    <x v="880"/>
    <x v="0"/>
    <x v="2"/>
    <x v="1"/>
    <s v="No"/>
    <s v="Y"/>
    <n v="2"/>
    <n v="-2"/>
    <n v="0"/>
    <n v="32"/>
    <n v="0"/>
    <m/>
    <n v="0"/>
    <n v="1"/>
    <n v="116"/>
    <n v="13"/>
    <x v="3"/>
    <n v="1"/>
    <n v="3"/>
    <n v="77"/>
    <n v="2"/>
    <n v="1"/>
    <n v="2"/>
    <n v="2743"/>
    <n v="7331"/>
    <n v="1"/>
    <n v="20"/>
    <n v="4"/>
    <n v="3"/>
    <n v="80"/>
    <n v="1"/>
    <n v="2"/>
    <n v="3"/>
    <n v="2"/>
    <n v="2"/>
    <n v="2"/>
    <n v="2"/>
  </r>
  <r>
    <s v="No"/>
    <s v="Travel_Frequently"/>
    <x v="2"/>
    <s v="Current Employees"/>
    <x v="1"/>
    <x v="0"/>
    <x v="881"/>
    <x v="881"/>
    <x v="0"/>
    <x v="1"/>
    <x v="0"/>
    <s v="Yes"/>
    <s v="Y"/>
    <n v="2"/>
    <n v="-2"/>
    <n v="0"/>
    <n v="32"/>
    <n v="0"/>
    <m/>
    <n v="0"/>
    <n v="1"/>
    <n v="1316"/>
    <n v="2"/>
    <x v="0"/>
    <n v="1"/>
    <n v="4"/>
    <n v="38"/>
    <n v="3"/>
    <n v="2"/>
    <n v="1"/>
    <n v="4998"/>
    <n v="2338"/>
    <n v="4"/>
    <n v="14"/>
    <n v="3"/>
    <n v="4"/>
    <n v="80"/>
    <n v="0"/>
    <n v="10"/>
    <n v="3"/>
    <n v="8"/>
    <n v="7"/>
    <n v="0"/>
    <n v="7"/>
  </r>
  <r>
    <s v="No"/>
    <s v="Travel_Rarely"/>
    <x v="0"/>
    <s v="Current Employees"/>
    <x v="1"/>
    <x v="4"/>
    <x v="882"/>
    <x v="882"/>
    <x v="0"/>
    <x v="3"/>
    <x v="2"/>
    <s v="Yes"/>
    <s v="Y"/>
    <n v="2"/>
    <n v="-2"/>
    <n v="0"/>
    <n v="36"/>
    <n v="0"/>
    <m/>
    <n v="0"/>
    <n v="1"/>
    <n v="363"/>
    <n v="1"/>
    <x v="3"/>
    <n v="1"/>
    <n v="4"/>
    <n v="77"/>
    <n v="1"/>
    <n v="3"/>
    <n v="4"/>
    <n v="10252"/>
    <n v="4235"/>
    <n v="2"/>
    <n v="21"/>
    <n v="4"/>
    <n v="3"/>
    <n v="80"/>
    <n v="1"/>
    <n v="17"/>
    <n v="3"/>
    <n v="7"/>
    <n v="7"/>
    <n v="7"/>
    <n v="7"/>
  </r>
  <r>
    <s v="No"/>
    <s v="Travel_Rarely"/>
    <x v="2"/>
    <s v="Current Employees"/>
    <x v="1"/>
    <x v="2"/>
    <x v="883"/>
    <x v="883"/>
    <x v="1"/>
    <x v="1"/>
    <x v="1"/>
    <s v="No"/>
    <s v="Y"/>
    <n v="5"/>
    <n v="-2"/>
    <n v="0"/>
    <n v="33"/>
    <n v="0"/>
    <m/>
    <n v="0"/>
    <n v="1"/>
    <n v="117"/>
    <n v="9"/>
    <x v="3"/>
    <n v="1"/>
    <n v="1"/>
    <n v="60"/>
    <n v="3"/>
    <n v="1"/>
    <n v="4"/>
    <n v="2781"/>
    <n v="6311"/>
    <n v="0"/>
    <n v="13"/>
    <n v="3"/>
    <n v="2"/>
    <n v="80"/>
    <n v="1"/>
    <n v="15"/>
    <n v="3"/>
    <n v="14"/>
    <n v="10"/>
    <n v="4"/>
    <n v="10"/>
  </r>
  <r>
    <s v="No"/>
    <s v="Travel_Rarely"/>
    <x v="0"/>
    <s v="Current Employees"/>
    <x v="0"/>
    <x v="4"/>
    <x v="884"/>
    <x v="884"/>
    <x v="0"/>
    <x v="0"/>
    <x v="2"/>
    <s v="No"/>
    <s v="Y"/>
    <n v="2"/>
    <n v="-2"/>
    <n v="0"/>
    <n v="40"/>
    <n v="0"/>
    <m/>
    <n v="0"/>
    <n v="1"/>
    <n v="107"/>
    <n v="10"/>
    <x v="3"/>
    <n v="1"/>
    <n v="4"/>
    <n v="84"/>
    <n v="2"/>
    <n v="2"/>
    <n v="4"/>
    <n v="6852"/>
    <n v="11591"/>
    <n v="7"/>
    <n v="12"/>
    <n v="3"/>
    <n v="2"/>
    <n v="80"/>
    <n v="1"/>
    <n v="7"/>
    <n v="4"/>
    <n v="5"/>
    <n v="1"/>
    <n v="1"/>
    <n v="3"/>
  </r>
  <r>
    <s v="No"/>
    <s v="Travel_Rarely"/>
    <x v="2"/>
    <s v="Current Employees"/>
    <x v="0"/>
    <x v="0"/>
    <x v="885"/>
    <x v="885"/>
    <x v="1"/>
    <x v="0"/>
    <x v="0"/>
    <s v="No"/>
    <s v="Y"/>
    <n v="4"/>
    <n v="-2"/>
    <n v="0"/>
    <n v="25"/>
    <n v="0"/>
    <m/>
    <n v="0"/>
    <n v="1"/>
    <n v="1356"/>
    <n v="10"/>
    <x v="2"/>
    <n v="1"/>
    <n v="3"/>
    <n v="57"/>
    <n v="3"/>
    <n v="2"/>
    <n v="1"/>
    <n v="4950"/>
    <n v="20623"/>
    <n v="0"/>
    <n v="14"/>
    <n v="3"/>
    <n v="2"/>
    <n v="80"/>
    <n v="0"/>
    <n v="5"/>
    <n v="3"/>
    <n v="4"/>
    <n v="3"/>
    <n v="1"/>
    <n v="1"/>
  </r>
  <r>
    <s v="No"/>
    <s v="Travel_Rarely"/>
    <x v="2"/>
    <s v="Current Employees"/>
    <x v="1"/>
    <x v="2"/>
    <x v="886"/>
    <x v="886"/>
    <x v="1"/>
    <x v="1"/>
    <x v="1"/>
    <s v="Yes"/>
    <s v="Y"/>
    <n v="2"/>
    <n v="-2"/>
    <n v="0"/>
    <n v="30"/>
    <n v="0"/>
    <m/>
    <n v="0"/>
    <n v="1"/>
    <n v="1465"/>
    <n v="1"/>
    <x v="3"/>
    <n v="1"/>
    <n v="4"/>
    <n v="63"/>
    <n v="3"/>
    <n v="1"/>
    <n v="2"/>
    <n v="3579"/>
    <n v="9369"/>
    <n v="0"/>
    <n v="21"/>
    <n v="4"/>
    <n v="1"/>
    <n v="80"/>
    <n v="1"/>
    <n v="12"/>
    <n v="3"/>
    <n v="11"/>
    <n v="9"/>
    <n v="5"/>
    <n v="7"/>
  </r>
  <r>
    <s v="No"/>
    <s v="Travel_Frequently"/>
    <x v="0"/>
    <s v="Current Employees"/>
    <x v="1"/>
    <x v="2"/>
    <x v="887"/>
    <x v="887"/>
    <x v="0"/>
    <x v="7"/>
    <x v="1"/>
    <s v="Yes"/>
    <s v="Y"/>
    <n v="6"/>
    <n v="-2"/>
    <n v="0"/>
    <n v="42"/>
    <n v="0"/>
    <m/>
    <n v="0"/>
    <n v="1"/>
    <n v="458"/>
    <n v="26"/>
    <x v="4"/>
    <n v="1"/>
    <n v="1"/>
    <n v="60"/>
    <n v="3"/>
    <n v="3"/>
    <n v="3"/>
    <n v="13191"/>
    <n v="23281"/>
    <n v="3"/>
    <n v="17"/>
    <n v="3"/>
    <n v="3"/>
    <n v="80"/>
    <n v="0"/>
    <n v="20"/>
    <n v="3"/>
    <n v="1"/>
    <n v="0"/>
    <n v="0"/>
    <n v="0"/>
  </r>
  <r>
    <s v="No"/>
    <s v="Non-Travel"/>
    <x v="0"/>
    <s v="Current Employees"/>
    <x v="0"/>
    <x v="3"/>
    <x v="888"/>
    <x v="888"/>
    <x v="0"/>
    <x v="0"/>
    <x v="1"/>
    <s v="Yes"/>
    <s v="Y"/>
    <n v="6"/>
    <n v="-2"/>
    <n v="0"/>
    <n v="35"/>
    <n v="0"/>
    <m/>
    <n v="0"/>
    <n v="1"/>
    <n v="1212"/>
    <n v="8"/>
    <x v="0"/>
    <n v="1"/>
    <n v="3"/>
    <n v="78"/>
    <n v="2"/>
    <n v="3"/>
    <n v="2"/>
    <n v="10377"/>
    <n v="13755"/>
    <n v="4"/>
    <n v="11"/>
    <n v="3"/>
    <n v="2"/>
    <n v="80"/>
    <n v="1"/>
    <n v="16"/>
    <n v="2"/>
    <n v="13"/>
    <n v="2"/>
    <n v="4"/>
    <n v="12"/>
  </r>
  <r>
    <s v="No"/>
    <s v="Travel_Rarely"/>
    <x v="2"/>
    <s v="Current Employees"/>
    <x v="1"/>
    <x v="0"/>
    <x v="889"/>
    <x v="889"/>
    <x v="1"/>
    <x v="1"/>
    <x v="1"/>
    <s v="Yes"/>
    <s v="Y"/>
    <n v="3"/>
    <n v="-2"/>
    <n v="0"/>
    <n v="27"/>
    <n v="0"/>
    <m/>
    <n v="0"/>
    <n v="1"/>
    <n v="1103"/>
    <n v="14"/>
    <x v="3"/>
    <n v="1"/>
    <n v="1"/>
    <n v="42"/>
    <n v="3"/>
    <n v="1"/>
    <n v="1"/>
    <n v="2235"/>
    <n v="14377"/>
    <n v="1"/>
    <n v="14"/>
    <n v="3"/>
    <n v="4"/>
    <n v="80"/>
    <n v="2"/>
    <n v="9"/>
    <n v="2"/>
    <n v="9"/>
    <n v="7"/>
    <n v="6"/>
    <n v="8"/>
  </r>
  <r>
    <s v="No"/>
    <s v="Travel_Frequently"/>
    <x v="1"/>
    <s v="Current Employees"/>
    <x v="1"/>
    <x v="0"/>
    <x v="890"/>
    <x v="890"/>
    <x v="0"/>
    <x v="3"/>
    <x v="2"/>
    <s v="No"/>
    <s v="Y"/>
    <n v="2"/>
    <n v="-2"/>
    <n v="0"/>
    <n v="54"/>
    <n v="0"/>
    <m/>
    <n v="0"/>
    <n v="1"/>
    <n v="966"/>
    <n v="1"/>
    <x v="2"/>
    <n v="1"/>
    <n v="4"/>
    <n v="53"/>
    <n v="3"/>
    <n v="3"/>
    <n v="1"/>
    <n v="10502"/>
    <n v="9659"/>
    <n v="7"/>
    <n v="17"/>
    <n v="3"/>
    <n v="1"/>
    <n v="80"/>
    <n v="1"/>
    <n v="33"/>
    <n v="1"/>
    <n v="5"/>
    <n v="4"/>
    <n v="1"/>
    <n v="4"/>
  </r>
  <r>
    <s v="No"/>
    <s v="Travel_Rarely"/>
    <x v="0"/>
    <s v="Current Employees"/>
    <x v="1"/>
    <x v="0"/>
    <x v="891"/>
    <x v="891"/>
    <x v="0"/>
    <x v="1"/>
    <x v="1"/>
    <s v="No"/>
    <s v="Y"/>
    <n v="5"/>
    <n v="-2"/>
    <n v="0"/>
    <n v="44"/>
    <n v="0"/>
    <m/>
    <n v="0"/>
    <n v="1"/>
    <n v="1117"/>
    <n v="2"/>
    <x v="1"/>
    <n v="1"/>
    <n v="1"/>
    <n v="72"/>
    <n v="4"/>
    <n v="1"/>
    <n v="1"/>
    <n v="2011"/>
    <n v="19982"/>
    <n v="1"/>
    <n v="13"/>
    <n v="3"/>
    <n v="4"/>
    <n v="80"/>
    <n v="1"/>
    <n v="10"/>
    <n v="3"/>
    <n v="10"/>
    <n v="5"/>
    <n v="7"/>
    <n v="7"/>
  </r>
  <r>
    <s v="Yes"/>
    <s v="Non-Travel"/>
    <x v="4"/>
    <s v="Ex-Employees"/>
    <x v="1"/>
    <x v="2"/>
    <x v="892"/>
    <x v="892"/>
    <x v="0"/>
    <x v="1"/>
    <x v="0"/>
    <s v="Yes"/>
    <s v="Y"/>
    <n v="2"/>
    <n v="-2"/>
    <n v="0"/>
    <n v="19"/>
    <n v="1"/>
    <n v="1"/>
    <n v="1"/>
    <n v="0"/>
    <n v="504"/>
    <n v="10"/>
    <x v="3"/>
    <n v="1"/>
    <n v="1"/>
    <n v="96"/>
    <n v="2"/>
    <n v="1"/>
    <n v="2"/>
    <n v="1859"/>
    <n v="6148"/>
    <n v="1"/>
    <n v="25"/>
    <n v="4"/>
    <n v="2"/>
    <n v="80"/>
    <n v="0"/>
    <n v="1"/>
    <n v="4"/>
    <n v="1"/>
    <n v="1"/>
    <n v="0"/>
    <n v="0"/>
  </r>
  <r>
    <s v="No"/>
    <s v="Travel_Rarely"/>
    <x v="2"/>
    <s v="Current Employees"/>
    <x v="1"/>
    <x v="0"/>
    <x v="893"/>
    <x v="893"/>
    <x v="0"/>
    <x v="1"/>
    <x v="2"/>
    <s v="No"/>
    <s v="Y"/>
    <n v="5"/>
    <n v="-2"/>
    <n v="0"/>
    <n v="29"/>
    <n v="0"/>
    <m/>
    <n v="0"/>
    <n v="1"/>
    <n v="1010"/>
    <n v="1"/>
    <x v="3"/>
    <n v="1"/>
    <n v="1"/>
    <n v="97"/>
    <n v="3"/>
    <n v="1"/>
    <n v="1"/>
    <n v="3760"/>
    <n v="5598"/>
    <n v="1"/>
    <n v="15"/>
    <n v="3"/>
    <n v="1"/>
    <n v="80"/>
    <n v="3"/>
    <n v="3"/>
    <n v="3"/>
    <n v="3"/>
    <n v="2"/>
    <n v="1"/>
    <n v="2"/>
  </r>
  <r>
    <s v="No"/>
    <s v="Travel_Rarely"/>
    <x v="1"/>
    <s v="Current Employees"/>
    <x v="1"/>
    <x v="0"/>
    <x v="894"/>
    <x v="894"/>
    <x v="1"/>
    <x v="7"/>
    <x v="1"/>
    <s v="No"/>
    <s v="Y"/>
    <n v="2"/>
    <n v="-2"/>
    <n v="0"/>
    <n v="54"/>
    <n v="0"/>
    <m/>
    <n v="0"/>
    <n v="1"/>
    <n v="685"/>
    <n v="3"/>
    <x v="3"/>
    <n v="1"/>
    <n v="4"/>
    <n v="85"/>
    <n v="3"/>
    <n v="4"/>
    <n v="1"/>
    <n v="17779"/>
    <n v="23474"/>
    <n v="3"/>
    <n v="14"/>
    <n v="3"/>
    <n v="1"/>
    <n v="80"/>
    <n v="0"/>
    <n v="36"/>
    <n v="3"/>
    <n v="10"/>
    <n v="9"/>
    <n v="0"/>
    <n v="9"/>
  </r>
  <r>
    <s v="No"/>
    <s v="Travel_Rarely"/>
    <x v="2"/>
    <s v="Current Employees"/>
    <x v="1"/>
    <x v="2"/>
    <x v="895"/>
    <x v="895"/>
    <x v="1"/>
    <x v="4"/>
    <x v="1"/>
    <s v="Yes"/>
    <s v="Y"/>
    <n v="2"/>
    <n v="-2"/>
    <n v="0"/>
    <n v="31"/>
    <n v="0"/>
    <m/>
    <n v="0"/>
    <n v="1"/>
    <n v="1332"/>
    <n v="11"/>
    <x v="0"/>
    <n v="1"/>
    <n v="3"/>
    <n v="80"/>
    <n v="3"/>
    <n v="2"/>
    <n v="3"/>
    <n v="6833"/>
    <n v="17089"/>
    <n v="1"/>
    <n v="12"/>
    <n v="3"/>
    <n v="4"/>
    <n v="80"/>
    <n v="0"/>
    <n v="6"/>
    <n v="2"/>
    <n v="6"/>
    <n v="5"/>
    <n v="0"/>
    <n v="1"/>
  </r>
  <r>
    <s v="No"/>
    <s v="Travel_Rarely"/>
    <x v="2"/>
    <s v="Current Employees"/>
    <x v="1"/>
    <x v="2"/>
    <x v="896"/>
    <x v="896"/>
    <x v="0"/>
    <x v="4"/>
    <x v="0"/>
    <s v="No"/>
    <s v="Y"/>
    <n v="2"/>
    <n v="-2"/>
    <n v="0"/>
    <n v="31"/>
    <n v="0"/>
    <m/>
    <n v="0"/>
    <n v="1"/>
    <n v="1062"/>
    <n v="24"/>
    <x v="3"/>
    <n v="1"/>
    <n v="3"/>
    <n v="96"/>
    <n v="2"/>
    <n v="2"/>
    <n v="3"/>
    <n v="6812"/>
    <n v="17198"/>
    <n v="1"/>
    <n v="19"/>
    <n v="3"/>
    <n v="2"/>
    <n v="80"/>
    <n v="0"/>
    <n v="10"/>
    <n v="3"/>
    <n v="10"/>
    <n v="9"/>
    <n v="1"/>
    <n v="8"/>
  </r>
  <r>
    <s v="No"/>
    <s v="Travel_Rarely"/>
    <x v="3"/>
    <s v="Current Employees"/>
    <x v="0"/>
    <x v="0"/>
    <x v="897"/>
    <x v="897"/>
    <x v="0"/>
    <x v="0"/>
    <x v="0"/>
    <s v="No"/>
    <s v="Y"/>
    <n v="2"/>
    <n v="-2"/>
    <n v="0"/>
    <n v="59"/>
    <n v="0"/>
    <m/>
    <n v="0"/>
    <n v="1"/>
    <n v="326"/>
    <n v="3"/>
    <x v="3"/>
    <n v="1"/>
    <n v="3"/>
    <n v="48"/>
    <n v="2"/>
    <n v="2"/>
    <n v="1"/>
    <n v="5171"/>
    <n v="16490"/>
    <n v="5"/>
    <n v="17"/>
    <n v="3"/>
    <n v="4"/>
    <n v="80"/>
    <n v="0"/>
    <n v="13"/>
    <n v="3"/>
    <n v="6"/>
    <n v="1"/>
    <n v="0"/>
    <n v="5"/>
  </r>
  <r>
    <s v="No"/>
    <s v="Travel_Rarely"/>
    <x v="0"/>
    <s v="Current Employees"/>
    <x v="1"/>
    <x v="0"/>
    <x v="898"/>
    <x v="898"/>
    <x v="1"/>
    <x v="7"/>
    <x v="1"/>
    <s v="No"/>
    <s v="Y"/>
    <n v="2"/>
    <n v="-2"/>
    <n v="0"/>
    <n v="43"/>
    <n v="0"/>
    <m/>
    <n v="0"/>
    <n v="1"/>
    <n v="920"/>
    <n v="3"/>
    <x v="3"/>
    <n v="1"/>
    <n v="3"/>
    <n v="96"/>
    <n v="1"/>
    <n v="5"/>
    <n v="1"/>
    <n v="19740"/>
    <n v="18625"/>
    <n v="3"/>
    <n v="14"/>
    <n v="3"/>
    <n v="2"/>
    <n v="80"/>
    <n v="1"/>
    <n v="25"/>
    <n v="3"/>
    <n v="8"/>
    <n v="7"/>
    <n v="0"/>
    <n v="7"/>
  </r>
  <r>
    <s v="No"/>
    <s v="Travel_Rarely"/>
    <x v="1"/>
    <s v="Current Employees"/>
    <x v="1"/>
    <x v="2"/>
    <x v="899"/>
    <x v="899"/>
    <x v="1"/>
    <x v="5"/>
    <x v="1"/>
    <s v="No"/>
    <s v="Y"/>
    <n v="2"/>
    <n v="-2"/>
    <n v="0"/>
    <n v="49"/>
    <n v="0"/>
    <m/>
    <n v="0"/>
    <n v="1"/>
    <n v="1098"/>
    <n v="4"/>
    <x v="0"/>
    <n v="1"/>
    <n v="1"/>
    <n v="85"/>
    <n v="2"/>
    <n v="5"/>
    <n v="3"/>
    <n v="18711"/>
    <n v="12124"/>
    <n v="2"/>
    <n v="13"/>
    <n v="3"/>
    <n v="3"/>
    <n v="80"/>
    <n v="1"/>
    <n v="23"/>
    <n v="4"/>
    <n v="1"/>
    <n v="0"/>
    <n v="0"/>
    <n v="0"/>
  </r>
  <r>
    <s v="No"/>
    <s v="Travel_Frequently"/>
    <x v="0"/>
    <s v="Current Employees"/>
    <x v="1"/>
    <x v="4"/>
    <x v="900"/>
    <x v="900"/>
    <x v="1"/>
    <x v="1"/>
    <x v="1"/>
    <s v="No"/>
    <s v="Y"/>
    <n v="2"/>
    <n v="-2"/>
    <n v="0"/>
    <n v="36"/>
    <n v="0"/>
    <m/>
    <n v="0"/>
    <n v="1"/>
    <n v="469"/>
    <n v="3"/>
    <x v="3"/>
    <n v="1"/>
    <n v="4"/>
    <n v="46"/>
    <n v="3"/>
    <n v="1"/>
    <n v="4"/>
    <n v="3692"/>
    <n v="9256"/>
    <n v="1"/>
    <n v="12"/>
    <n v="3"/>
    <n v="3"/>
    <n v="80"/>
    <n v="0"/>
    <n v="12"/>
    <n v="2"/>
    <n v="11"/>
    <n v="10"/>
    <n v="0"/>
    <n v="7"/>
  </r>
  <r>
    <s v="No"/>
    <s v="Travel_Rarely"/>
    <x v="1"/>
    <s v="Current Employees"/>
    <x v="1"/>
    <x v="4"/>
    <x v="901"/>
    <x v="901"/>
    <x v="1"/>
    <x v="2"/>
    <x v="0"/>
    <s v="No"/>
    <s v="Y"/>
    <n v="4"/>
    <n v="-2"/>
    <n v="0"/>
    <n v="48"/>
    <n v="0"/>
    <m/>
    <n v="0"/>
    <n v="1"/>
    <n v="969"/>
    <n v="2"/>
    <x v="0"/>
    <n v="1"/>
    <n v="4"/>
    <n v="76"/>
    <n v="4"/>
    <n v="1"/>
    <n v="4"/>
    <n v="2559"/>
    <n v="16620"/>
    <n v="5"/>
    <n v="11"/>
    <n v="3"/>
    <n v="3"/>
    <n v="80"/>
    <n v="0"/>
    <n v="7"/>
    <n v="2"/>
    <n v="1"/>
    <n v="0"/>
    <n v="0"/>
    <n v="0"/>
  </r>
  <r>
    <s v="No"/>
    <s v="Travel_Rarely"/>
    <x v="2"/>
    <s v="Current Employees"/>
    <x v="1"/>
    <x v="0"/>
    <x v="902"/>
    <x v="902"/>
    <x v="1"/>
    <x v="1"/>
    <x v="2"/>
    <s v="No"/>
    <s v="Y"/>
    <n v="2"/>
    <n v="-2"/>
    <n v="0"/>
    <n v="27"/>
    <n v="0"/>
    <m/>
    <n v="0"/>
    <n v="1"/>
    <n v="1167"/>
    <n v="4"/>
    <x v="0"/>
    <n v="1"/>
    <n v="1"/>
    <n v="76"/>
    <n v="3"/>
    <n v="1"/>
    <n v="1"/>
    <n v="2517"/>
    <n v="3208"/>
    <n v="1"/>
    <n v="11"/>
    <n v="3"/>
    <n v="2"/>
    <n v="80"/>
    <n v="3"/>
    <n v="5"/>
    <n v="3"/>
    <n v="5"/>
    <n v="3"/>
    <n v="0"/>
    <n v="3"/>
  </r>
  <r>
    <s v="No"/>
    <s v="Travel_Rarely"/>
    <x v="2"/>
    <s v="Current Employees"/>
    <x v="1"/>
    <x v="0"/>
    <x v="903"/>
    <x v="903"/>
    <x v="1"/>
    <x v="4"/>
    <x v="2"/>
    <s v="Yes"/>
    <s v="Y"/>
    <n v="2"/>
    <n v="-2"/>
    <n v="0"/>
    <n v="29"/>
    <n v="0"/>
    <m/>
    <n v="0"/>
    <n v="1"/>
    <n v="1329"/>
    <n v="7"/>
    <x v="3"/>
    <n v="1"/>
    <n v="3"/>
    <n v="82"/>
    <n v="3"/>
    <n v="2"/>
    <n v="1"/>
    <n v="6623"/>
    <n v="4204"/>
    <n v="1"/>
    <n v="11"/>
    <n v="3"/>
    <n v="2"/>
    <n v="80"/>
    <n v="2"/>
    <n v="6"/>
    <n v="3"/>
    <n v="6"/>
    <n v="0"/>
    <n v="1"/>
    <n v="0"/>
  </r>
  <r>
    <s v="No"/>
    <s v="Travel_Rarely"/>
    <x v="1"/>
    <s v="Current Employees"/>
    <x v="1"/>
    <x v="0"/>
    <x v="904"/>
    <x v="904"/>
    <x v="1"/>
    <x v="7"/>
    <x v="0"/>
    <s v="No"/>
    <s v="Y"/>
    <n v="3"/>
    <n v="-2"/>
    <n v="0"/>
    <n v="48"/>
    <n v="0"/>
    <m/>
    <n v="0"/>
    <n v="1"/>
    <n v="715"/>
    <n v="1"/>
    <x v="3"/>
    <n v="1"/>
    <n v="4"/>
    <n v="76"/>
    <n v="2"/>
    <n v="5"/>
    <n v="1"/>
    <n v="18265"/>
    <n v="8733"/>
    <n v="6"/>
    <n v="12"/>
    <n v="3"/>
    <n v="3"/>
    <n v="80"/>
    <n v="0"/>
    <n v="25"/>
    <n v="4"/>
    <n v="1"/>
    <n v="0"/>
    <n v="0"/>
    <n v="0"/>
  </r>
  <r>
    <s v="No"/>
    <s v="Travel_Rarely"/>
    <x v="2"/>
    <s v="Current Employees"/>
    <x v="1"/>
    <x v="0"/>
    <x v="905"/>
    <x v="905"/>
    <x v="0"/>
    <x v="7"/>
    <x v="2"/>
    <s v="No"/>
    <s v="Y"/>
    <n v="2"/>
    <n v="-2"/>
    <n v="0"/>
    <n v="29"/>
    <n v="0"/>
    <m/>
    <n v="0"/>
    <n v="1"/>
    <n v="694"/>
    <n v="1"/>
    <x v="3"/>
    <n v="1"/>
    <n v="4"/>
    <n v="87"/>
    <n v="2"/>
    <n v="4"/>
    <n v="1"/>
    <n v="16124"/>
    <n v="3423"/>
    <n v="3"/>
    <n v="14"/>
    <n v="3"/>
    <n v="2"/>
    <n v="80"/>
    <n v="2"/>
    <n v="9"/>
    <n v="2"/>
    <n v="7"/>
    <n v="7"/>
    <n v="1"/>
    <n v="7"/>
  </r>
  <r>
    <s v="No"/>
    <s v="Travel_Rarely"/>
    <x v="2"/>
    <s v="Current Employees"/>
    <x v="1"/>
    <x v="4"/>
    <x v="906"/>
    <x v="906"/>
    <x v="0"/>
    <x v="1"/>
    <x v="1"/>
    <s v="No"/>
    <s v="Y"/>
    <n v="5"/>
    <n v="-2"/>
    <n v="0"/>
    <n v="34"/>
    <n v="0"/>
    <m/>
    <n v="0"/>
    <n v="1"/>
    <n v="1320"/>
    <n v="20"/>
    <x v="3"/>
    <n v="1"/>
    <n v="4"/>
    <n v="89"/>
    <n v="4"/>
    <n v="1"/>
    <n v="4"/>
    <n v="2585"/>
    <n v="21643"/>
    <n v="0"/>
    <n v="17"/>
    <n v="3"/>
    <n v="4"/>
    <n v="80"/>
    <n v="0"/>
    <n v="2"/>
    <n v="2"/>
    <n v="1"/>
    <n v="0"/>
    <n v="0"/>
    <n v="0"/>
  </r>
  <r>
    <s v="No"/>
    <s v="Travel_Rarely"/>
    <x v="0"/>
    <s v="Current Employees"/>
    <x v="0"/>
    <x v="3"/>
    <x v="907"/>
    <x v="907"/>
    <x v="1"/>
    <x v="5"/>
    <x v="1"/>
    <s v="No"/>
    <s v="Y"/>
    <n v="5"/>
    <n v="-2"/>
    <n v="0"/>
    <n v="44"/>
    <n v="0"/>
    <m/>
    <n v="0"/>
    <n v="1"/>
    <n v="1099"/>
    <n v="5"/>
    <x v="3"/>
    <n v="1"/>
    <n v="2"/>
    <n v="88"/>
    <n v="3"/>
    <n v="5"/>
    <n v="2"/>
    <n v="18213"/>
    <n v="8751"/>
    <n v="7"/>
    <n v="11"/>
    <n v="3"/>
    <n v="3"/>
    <n v="80"/>
    <n v="1"/>
    <n v="26"/>
    <n v="3"/>
    <n v="22"/>
    <n v="9"/>
    <n v="3"/>
    <n v="10"/>
  </r>
  <r>
    <s v="No"/>
    <s v="Travel_Rarely"/>
    <x v="2"/>
    <s v="Current Employees"/>
    <x v="0"/>
    <x v="3"/>
    <x v="908"/>
    <x v="908"/>
    <x v="1"/>
    <x v="0"/>
    <x v="2"/>
    <s v="Yes"/>
    <s v="Y"/>
    <n v="3"/>
    <n v="-2"/>
    <n v="0"/>
    <n v="33"/>
    <n v="0"/>
    <m/>
    <n v="0"/>
    <n v="1"/>
    <n v="536"/>
    <n v="10"/>
    <x v="4"/>
    <n v="1"/>
    <n v="4"/>
    <n v="82"/>
    <n v="4"/>
    <n v="3"/>
    <n v="2"/>
    <n v="8380"/>
    <n v="21708"/>
    <n v="0"/>
    <n v="14"/>
    <n v="3"/>
    <n v="4"/>
    <n v="80"/>
    <n v="2"/>
    <n v="10"/>
    <n v="3"/>
    <n v="9"/>
    <n v="8"/>
    <n v="0"/>
    <n v="8"/>
  </r>
  <r>
    <s v="No"/>
    <s v="Travel_Rarely"/>
    <x v="4"/>
    <s v="Current Employees"/>
    <x v="1"/>
    <x v="0"/>
    <x v="909"/>
    <x v="909"/>
    <x v="0"/>
    <x v="1"/>
    <x v="0"/>
    <s v="Yes"/>
    <s v="Y"/>
    <n v="2"/>
    <n v="-2"/>
    <n v="0"/>
    <n v="19"/>
    <n v="0"/>
    <m/>
    <n v="0"/>
    <n v="1"/>
    <n v="265"/>
    <n v="25"/>
    <x v="3"/>
    <n v="1"/>
    <n v="2"/>
    <n v="57"/>
    <n v="4"/>
    <n v="1"/>
    <n v="1"/>
    <n v="2994"/>
    <n v="21221"/>
    <n v="1"/>
    <n v="12"/>
    <n v="3"/>
    <n v="4"/>
    <n v="80"/>
    <n v="0"/>
    <n v="1"/>
    <n v="3"/>
    <n v="1"/>
    <n v="0"/>
    <n v="0"/>
    <n v="1"/>
  </r>
  <r>
    <s v="No"/>
    <s v="Travel_Rarely"/>
    <x v="4"/>
    <s v="Current Employees"/>
    <x v="1"/>
    <x v="0"/>
    <x v="910"/>
    <x v="910"/>
    <x v="1"/>
    <x v="1"/>
    <x v="1"/>
    <s v="No"/>
    <s v="Y"/>
    <n v="2"/>
    <n v="-2"/>
    <n v="0"/>
    <n v="23"/>
    <n v="0"/>
    <m/>
    <n v="0"/>
    <n v="1"/>
    <n v="373"/>
    <n v="1"/>
    <x v="0"/>
    <n v="1"/>
    <n v="4"/>
    <n v="47"/>
    <n v="3"/>
    <n v="1"/>
    <n v="1"/>
    <n v="1223"/>
    <n v="16901"/>
    <n v="1"/>
    <n v="22"/>
    <n v="4"/>
    <n v="4"/>
    <n v="80"/>
    <n v="1"/>
    <n v="1"/>
    <n v="3"/>
    <n v="1"/>
    <n v="0"/>
    <n v="0"/>
    <n v="1"/>
  </r>
  <r>
    <s v="Yes"/>
    <s v="Travel_Frequently"/>
    <x v="2"/>
    <s v="Ex-Employees"/>
    <x v="0"/>
    <x v="0"/>
    <x v="911"/>
    <x v="911"/>
    <x v="1"/>
    <x v="6"/>
    <x v="0"/>
    <s v="Yes"/>
    <s v="Y"/>
    <n v="4"/>
    <n v="-2"/>
    <n v="0"/>
    <n v="25"/>
    <n v="1"/>
    <n v="1"/>
    <n v="1"/>
    <n v="0"/>
    <n v="599"/>
    <n v="24"/>
    <x v="1"/>
    <n v="1"/>
    <n v="3"/>
    <n v="73"/>
    <n v="1"/>
    <n v="1"/>
    <n v="1"/>
    <n v="1118"/>
    <n v="8040"/>
    <n v="1"/>
    <n v="14"/>
    <n v="3"/>
    <n v="4"/>
    <n v="80"/>
    <n v="0"/>
    <n v="1"/>
    <n v="3"/>
    <n v="1"/>
    <n v="0"/>
    <n v="1"/>
    <n v="0"/>
  </r>
  <r>
    <s v="No"/>
    <s v="Travel_Rarely"/>
    <x v="2"/>
    <s v="Current Employees"/>
    <x v="1"/>
    <x v="0"/>
    <x v="912"/>
    <x v="912"/>
    <x v="1"/>
    <x v="1"/>
    <x v="0"/>
    <s v="Yes"/>
    <s v="Y"/>
    <n v="2"/>
    <n v="-2"/>
    <n v="0"/>
    <n v="26"/>
    <n v="0"/>
    <m/>
    <n v="0"/>
    <n v="1"/>
    <n v="583"/>
    <n v="4"/>
    <x v="0"/>
    <n v="1"/>
    <n v="3"/>
    <n v="53"/>
    <n v="3"/>
    <n v="1"/>
    <n v="1"/>
    <n v="2875"/>
    <n v="9973"/>
    <n v="1"/>
    <n v="20"/>
    <n v="4"/>
    <n v="2"/>
    <n v="80"/>
    <n v="0"/>
    <n v="8"/>
    <n v="2"/>
    <n v="8"/>
    <n v="5"/>
    <n v="2"/>
    <n v="2"/>
  </r>
  <r>
    <s v="Yes"/>
    <s v="Travel_Rarely"/>
    <x v="1"/>
    <s v="Ex-Employees"/>
    <x v="0"/>
    <x v="3"/>
    <x v="913"/>
    <x v="913"/>
    <x v="0"/>
    <x v="5"/>
    <x v="0"/>
    <s v="Yes"/>
    <s v="Y"/>
    <n v="2"/>
    <n v="-2"/>
    <n v="0"/>
    <n v="45"/>
    <n v="1"/>
    <n v="1"/>
    <n v="1"/>
    <n v="0"/>
    <n v="1449"/>
    <n v="2"/>
    <x v="3"/>
    <n v="1"/>
    <n v="1"/>
    <n v="94"/>
    <n v="1"/>
    <n v="5"/>
    <n v="2"/>
    <n v="18824"/>
    <n v="2493"/>
    <n v="2"/>
    <n v="16"/>
    <n v="3"/>
    <n v="1"/>
    <n v="80"/>
    <n v="0"/>
    <n v="26"/>
    <n v="3"/>
    <n v="24"/>
    <n v="10"/>
    <n v="1"/>
    <n v="11"/>
  </r>
  <r>
    <s v="No"/>
    <s v="Non-Travel"/>
    <x v="3"/>
    <s v="Current Employees"/>
    <x v="1"/>
    <x v="2"/>
    <x v="914"/>
    <x v="914"/>
    <x v="1"/>
    <x v="4"/>
    <x v="2"/>
    <s v="Yes"/>
    <s v="Y"/>
    <n v="3"/>
    <n v="-2"/>
    <n v="0"/>
    <n v="55"/>
    <n v="0"/>
    <m/>
    <n v="0"/>
    <n v="1"/>
    <n v="177"/>
    <n v="8"/>
    <x v="1"/>
    <n v="1"/>
    <n v="4"/>
    <n v="37"/>
    <n v="2"/>
    <n v="4"/>
    <n v="2"/>
    <n v="13577"/>
    <n v="25592"/>
    <n v="1"/>
    <n v="15"/>
    <n v="3"/>
    <n v="4"/>
    <n v="80"/>
    <n v="1"/>
    <n v="34"/>
    <n v="3"/>
    <n v="33"/>
    <n v="9"/>
    <n v="15"/>
    <n v="0"/>
  </r>
  <r>
    <s v="Yes"/>
    <s v="Travel_Frequently"/>
    <x v="4"/>
    <s v="Ex-Employees"/>
    <x v="1"/>
    <x v="0"/>
    <x v="915"/>
    <x v="915"/>
    <x v="0"/>
    <x v="2"/>
    <x v="0"/>
    <s v="No"/>
    <s v="Y"/>
    <n v="2"/>
    <n v="-2"/>
    <n v="0"/>
    <n v="21"/>
    <n v="1"/>
    <n v="1"/>
    <n v="1"/>
    <n v="0"/>
    <n v="251"/>
    <n v="10"/>
    <x v="0"/>
    <n v="1"/>
    <n v="1"/>
    <n v="45"/>
    <n v="2"/>
    <n v="1"/>
    <n v="1"/>
    <n v="2625"/>
    <n v="25308"/>
    <n v="1"/>
    <n v="20"/>
    <n v="4"/>
    <n v="3"/>
    <n v="80"/>
    <n v="0"/>
    <n v="2"/>
    <n v="1"/>
    <n v="2"/>
    <n v="2"/>
    <n v="2"/>
    <n v="2"/>
  </r>
  <r>
    <s v="No"/>
    <s v="Travel_Rarely"/>
    <x v="1"/>
    <s v="Current Employees"/>
    <x v="0"/>
    <x v="3"/>
    <x v="916"/>
    <x v="916"/>
    <x v="0"/>
    <x v="5"/>
    <x v="1"/>
    <s v="No"/>
    <s v="Y"/>
    <n v="2"/>
    <n v="-2"/>
    <n v="0"/>
    <n v="46"/>
    <n v="0"/>
    <m/>
    <n v="0"/>
    <n v="1"/>
    <n v="168"/>
    <n v="4"/>
    <x v="0"/>
    <n v="1"/>
    <n v="4"/>
    <n v="33"/>
    <n v="2"/>
    <n v="5"/>
    <n v="2"/>
    <n v="18789"/>
    <n v="9946"/>
    <n v="2"/>
    <n v="14"/>
    <n v="3"/>
    <n v="3"/>
    <n v="80"/>
    <n v="1"/>
    <n v="26"/>
    <n v="3"/>
    <n v="11"/>
    <n v="4"/>
    <n v="0"/>
    <n v="8"/>
  </r>
  <r>
    <s v="No"/>
    <s v="Travel_Rarely"/>
    <x v="2"/>
    <s v="Current Employees"/>
    <x v="0"/>
    <x v="3"/>
    <x v="917"/>
    <x v="917"/>
    <x v="0"/>
    <x v="0"/>
    <x v="0"/>
    <s v="Yes"/>
    <s v="Y"/>
    <n v="3"/>
    <n v="-2"/>
    <n v="0"/>
    <n v="34"/>
    <n v="0"/>
    <m/>
    <n v="0"/>
    <n v="1"/>
    <n v="131"/>
    <n v="2"/>
    <x v="3"/>
    <n v="1"/>
    <n v="3"/>
    <n v="86"/>
    <n v="3"/>
    <n v="2"/>
    <n v="2"/>
    <n v="4538"/>
    <n v="6039"/>
    <n v="0"/>
    <n v="12"/>
    <n v="3"/>
    <n v="4"/>
    <n v="80"/>
    <n v="0"/>
    <n v="4"/>
    <n v="3"/>
    <n v="3"/>
    <n v="2"/>
    <n v="0"/>
    <n v="2"/>
  </r>
  <r>
    <s v="No"/>
    <s v="Travel_Frequently"/>
    <x v="1"/>
    <s v="Current Employees"/>
    <x v="0"/>
    <x v="0"/>
    <x v="918"/>
    <x v="918"/>
    <x v="1"/>
    <x v="5"/>
    <x v="2"/>
    <s v="Yes"/>
    <s v="Y"/>
    <n v="5"/>
    <n v="-2"/>
    <n v="0"/>
    <n v="51"/>
    <n v="0"/>
    <m/>
    <n v="0"/>
    <n v="1"/>
    <n v="237"/>
    <n v="9"/>
    <x v="3"/>
    <n v="1"/>
    <n v="4"/>
    <n v="83"/>
    <n v="3"/>
    <n v="5"/>
    <n v="1"/>
    <n v="19847"/>
    <n v="19196"/>
    <n v="4"/>
    <n v="24"/>
    <n v="4"/>
    <n v="1"/>
    <n v="80"/>
    <n v="1"/>
    <n v="31"/>
    <n v="2"/>
    <n v="29"/>
    <n v="10"/>
    <n v="11"/>
    <n v="10"/>
  </r>
  <r>
    <s v="No"/>
    <s v="Travel_Rarely"/>
    <x v="3"/>
    <s v="Current Employees"/>
    <x v="1"/>
    <x v="2"/>
    <x v="919"/>
    <x v="919"/>
    <x v="1"/>
    <x v="3"/>
    <x v="0"/>
    <s v="No"/>
    <s v="Y"/>
    <n v="6"/>
    <n v="-2"/>
    <n v="0"/>
    <n v="59"/>
    <n v="0"/>
    <m/>
    <n v="0"/>
    <n v="1"/>
    <n v="1429"/>
    <n v="18"/>
    <x v="2"/>
    <n v="1"/>
    <n v="4"/>
    <n v="67"/>
    <n v="3"/>
    <n v="3"/>
    <n v="4"/>
    <n v="10512"/>
    <n v="20002"/>
    <n v="6"/>
    <n v="12"/>
    <n v="3"/>
    <n v="4"/>
    <n v="80"/>
    <n v="0"/>
    <n v="25"/>
    <n v="2"/>
    <n v="9"/>
    <n v="7"/>
    <n v="5"/>
    <n v="4"/>
  </r>
  <r>
    <s v="No"/>
    <s v="Travel_Frequently"/>
    <x v="2"/>
    <s v="Current Employees"/>
    <x v="1"/>
    <x v="2"/>
    <x v="920"/>
    <x v="920"/>
    <x v="0"/>
    <x v="2"/>
    <x v="2"/>
    <s v="No"/>
    <s v="Y"/>
    <n v="2"/>
    <n v="-2"/>
    <n v="0"/>
    <n v="34"/>
    <n v="0"/>
    <m/>
    <n v="0"/>
    <n v="1"/>
    <n v="135"/>
    <n v="19"/>
    <x v="3"/>
    <n v="1"/>
    <n v="3"/>
    <n v="46"/>
    <n v="3"/>
    <n v="2"/>
    <n v="2"/>
    <n v="4444"/>
    <n v="22534"/>
    <n v="4"/>
    <n v="13"/>
    <n v="3"/>
    <n v="3"/>
    <n v="80"/>
    <n v="2"/>
    <n v="15"/>
    <n v="4"/>
    <n v="11"/>
    <n v="8"/>
    <n v="5"/>
    <n v="10"/>
  </r>
  <r>
    <s v="No"/>
    <s v="Travel_Frequently"/>
    <x v="2"/>
    <s v="Current Employees"/>
    <x v="1"/>
    <x v="2"/>
    <x v="921"/>
    <x v="921"/>
    <x v="1"/>
    <x v="2"/>
    <x v="0"/>
    <s v="Yes"/>
    <s v="Y"/>
    <n v="2"/>
    <n v="-2"/>
    <n v="0"/>
    <n v="28"/>
    <n v="0"/>
    <m/>
    <n v="0"/>
    <n v="1"/>
    <n v="791"/>
    <n v="1"/>
    <x v="2"/>
    <n v="1"/>
    <n v="4"/>
    <n v="44"/>
    <n v="3"/>
    <n v="1"/>
    <n v="3"/>
    <n v="2154"/>
    <n v="6842"/>
    <n v="0"/>
    <n v="11"/>
    <n v="3"/>
    <n v="3"/>
    <n v="80"/>
    <n v="0"/>
    <n v="5"/>
    <n v="2"/>
    <n v="4"/>
    <n v="2"/>
    <n v="0"/>
    <n v="2"/>
  </r>
  <r>
    <s v="No"/>
    <s v="Travel_Rarely"/>
    <x v="0"/>
    <s v="Current Employees"/>
    <x v="1"/>
    <x v="0"/>
    <x v="922"/>
    <x v="922"/>
    <x v="1"/>
    <x v="5"/>
    <x v="2"/>
    <s v="No"/>
    <s v="Y"/>
    <n v="4"/>
    <n v="-2"/>
    <n v="0"/>
    <n v="44"/>
    <n v="0"/>
    <m/>
    <n v="0"/>
    <n v="1"/>
    <n v="1199"/>
    <n v="4"/>
    <x v="0"/>
    <n v="1"/>
    <n v="3"/>
    <n v="92"/>
    <n v="4"/>
    <n v="5"/>
    <n v="3"/>
    <n v="19190"/>
    <n v="17477"/>
    <n v="1"/>
    <n v="14"/>
    <n v="3"/>
    <n v="4"/>
    <n v="80"/>
    <n v="2"/>
    <n v="26"/>
    <n v="2"/>
    <n v="25"/>
    <n v="9"/>
    <n v="14"/>
    <n v="13"/>
  </r>
  <r>
    <s v="No"/>
    <s v="Travel_Frequently"/>
    <x v="2"/>
    <s v="Current Employees"/>
    <x v="2"/>
    <x v="0"/>
    <x v="923"/>
    <x v="923"/>
    <x v="1"/>
    <x v="8"/>
    <x v="1"/>
    <s v="No"/>
    <s v="Y"/>
    <n v="5"/>
    <n v="-2"/>
    <n v="0"/>
    <n v="34"/>
    <n v="0"/>
    <m/>
    <n v="0"/>
    <n v="1"/>
    <n v="648"/>
    <n v="11"/>
    <x v="3"/>
    <n v="1"/>
    <n v="3"/>
    <n v="56"/>
    <n v="2"/>
    <n v="2"/>
    <n v="2"/>
    <n v="4490"/>
    <n v="21833"/>
    <n v="4"/>
    <n v="11"/>
    <n v="3"/>
    <n v="4"/>
    <n v="80"/>
    <n v="2"/>
    <n v="14"/>
    <n v="4"/>
    <n v="10"/>
    <n v="9"/>
    <n v="1"/>
    <n v="8"/>
  </r>
  <r>
    <s v="No"/>
    <s v="Travel_Rarely"/>
    <x v="0"/>
    <s v="Current Employees"/>
    <x v="1"/>
    <x v="0"/>
    <x v="924"/>
    <x v="924"/>
    <x v="1"/>
    <x v="1"/>
    <x v="1"/>
    <s v="Yes"/>
    <s v="Y"/>
    <n v="3"/>
    <n v="-2"/>
    <n v="0"/>
    <n v="35"/>
    <n v="0"/>
    <m/>
    <n v="0"/>
    <n v="1"/>
    <n v="735"/>
    <n v="6"/>
    <x v="1"/>
    <n v="1"/>
    <n v="3"/>
    <n v="66"/>
    <n v="3"/>
    <n v="1"/>
    <n v="3"/>
    <n v="3506"/>
    <n v="6020"/>
    <n v="0"/>
    <n v="14"/>
    <n v="3"/>
    <n v="4"/>
    <n v="80"/>
    <n v="0"/>
    <n v="4"/>
    <n v="3"/>
    <n v="3"/>
    <n v="2"/>
    <n v="2"/>
    <n v="2"/>
  </r>
  <r>
    <s v="No"/>
    <s v="Travel_Rarely"/>
    <x v="0"/>
    <s v="Current Employees"/>
    <x v="1"/>
    <x v="2"/>
    <x v="925"/>
    <x v="925"/>
    <x v="0"/>
    <x v="1"/>
    <x v="1"/>
    <s v="Yes"/>
    <s v="Y"/>
    <n v="2"/>
    <n v="-2"/>
    <n v="0"/>
    <n v="42"/>
    <n v="0"/>
    <m/>
    <n v="0"/>
    <n v="1"/>
    <n v="603"/>
    <n v="7"/>
    <x v="2"/>
    <n v="1"/>
    <n v="2"/>
    <n v="78"/>
    <n v="4"/>
    <n v="2"/>
    <n v="2"/>
    <n v="2372"/>
    <n v="5628"/>
    <n v="6"/>
    <n v="16"/>
    <n v="3"/>
    <n v="4"/>
    <n v="80"/>
    <n v="0"/>
    <n v="18"/>
    <n v="3"/>
    <n v="1"/>
    <n v="0"/>
    <n v="0"/>
    <n v="0"/>
  </r>
  <r>
    <s v="No"/>
    <s v="Travel_Rarely"/>
    <x v="0"/>
    <s v="Current Employees"/>
    <x v="0"/>
    <x v="3"/>
    <x v="926"/>
    <x v="926"/>
    <x v="0"/>
    <x v="0"/>
    <x v="0"/>
    <s v="No"/>
    <s v="Y"/>
    <n v="3"/>
    <n v="-2"/>
    <n v="0"/>
    <n v="43"/>
    <n v="0"/>
    <m/>
    <n v="0"/>
    <n v="1"/>
    <n v="531"/>
    <n v="4"/>
    <x v="2"/>
    <n v="1"/>
    <n v="4"/>
    <n v="56"/>
    <n v="2"/>
    <n v="3"/>
    <n v="2"/>
    <n v="10231"/>
    <n v="20364"/>
    <n v="3"/>
    <n v="14"/>
    <n v="3"/>
    <n v="4"/>
    <n v="80"/>
    <n v="0"/>
    <n v="23"/>
    <n v="4"/>
    <n v="21"/>
    <n v="7"/>
    <n v="15"/>
    <n v="17"/>
  </r>
  <r>
    <s v="No"/>
    <s v="Travel_Rarely"/>
    <x v="0"/>
    <s v="Current Employees"/>
    <x v="1"/>
    <x v="0"/>
    <x v="927"/>
    <x v="927"/>
    <x v="0"/>
    <x v="3"/>
    <x v="0"/>
    <s v="Yes"/>
    <s v="Y"/>
    <n v="2"/>
    <n v="-2"/>
    <n v="0"/>
    <n v="36"/>
    <n v="0"/>
    <m/>
    <n v="0"/>
    <n v="1"/>
    <n v="429"/>
    <n v="2"/>
    <x v="2"/>
    <n v="1"/>
    <n v="3"/>
    <n v="53"/>
    <n v="3"/>
    <n v="2"/>
    <n v="2"/>
    <n v="5410"/>
    <n v="2323"/>
    <n v="9"/>
    <n v="11"/>
    <n v="3"/>
    <n v="4"/>
    <n v="80"/>
    <n v="0"/>
    <n v="18"/>
    <n v="3"/>
    <n v="16"/>
    <n v="14"/>
    <n v="5"/>
    <n v="12"/>
  </r>
  <r>
    <s v="Yes"/>
    <s v="Travel_Rarely"/>
    <x v="0"/>
    <s v="Ex-Employees"/>
    <x v="1"/>
    <x v="2"/>
    <x v="928"/>
    <x v="928"/>
    <x v="0"/>
    <x v="4"/>
    <x v="1"/>
    <s v="No"/>
    <s v="Y"/>
    <n v="2"/>
    <n v="-2"/>
    <n v="0"/>
    <n v="44"/>
    <n v="1"/>
    <n v="1"/>
    <n v="1"/>
    <n v="0"/>
    <n v="621"/>
    <n v="15"/>
    <x v="3"/>
    <n v="1"/>
    <n v="1"/>
    <n v="73"/>
    <n v="3"/>
    <n v="3"/>
    <n v="4"/>
    <n v="7978"/>
    <n v="14075"/>
    <n v="1"/>
    <n v="11"/>
    <n v="3"/>
    <n v="4"/>
    <n v="80"/>
    <n v="1"/>
    <n v="10"/>
    <n v="3"/>
    <n v="10"/>
    <n v="7"/>
    <n v="0"/>
    <n v="5"/>
  </r>
  <r>
    <s v="No"/>
    <s v="Travel_Frequently"/>
    <x v="2"/>
    <s v="Current Employees"/>
    <x v="1"/>
    <x v="0"/>
    <x v="929"/>
    <x v="929"/>
    <x v="1"/>
    <x v="2"/>
    <x v="1"/>
    <s v="Yes"/>
    <s v="Y"/>
    <n v="2"/>
    <n v="-2"/>
    <n v="0"/>
    <n v="28"/>
    <n v="0"/>
    <m/>
    <n v="0"/>
    <n v="1"/>
    <n v="193"/>
    <n v="2"/>
    <x v="3"/>
    <n v="1"/>
    <n v="4"/>
    <n v="52"/>
    <n v="2"/>
    <n v="1"/>
    <n v="4"/>
    <n v="3867"/>
    <n v="14222"/>
    <n v="1"/>
    <n v="12"/>
    <n v="3"/>
    <n v="2"/>
    <n v="80"/>
    <n v="1"/>
    <n v="2"/>
    <n v="3"/>
    <n v="2"/>
    <n v="2"/>
    <n v="2"/>
    <n v="2"/>
  </r>
  <r>
    <s v="No"/>
    <s v="Travel_Frequently"/>
    <x v="1"/>
    <s v="Current Employees"/>
    <x v="1"/>
    <x v="2"/>
    <x v="930"/>
    <x v="930"/>
    <x v="0"/>
    <x v="2"/>
    <x v="0"/>
    <s v="No"/>
    <s v="Y"/>
    <n v="6"/>
    <n v="-2"/>
    <n v="0"/>
    <n v="51"/>
    <n v="0"/>
    <m/>
    <n v="0"/>
    <n v="1"/>
    <n v="968"/>
    <n v="6"/>
    <x v="0"/>
    <n v="1"/>
    <n v="2"/>
    <n v="40"/>
    <n v="2"/>
    <n v="1"/>
    <n v="3"/>
    <n v="2838"/>
    <n v="4257"/>
    <n v="0"/>
    <n v="14"/>
    <n v="3"/>
    <n v="2"/>
    <n v="80"/>
    <n v="0"/>
    <n v="8"/>
    <n v="2"/>
    <n v="7"/>
    <n v="0"/>
    <n v="7"/>
    <n v="7"/>
  </r>
  <r>
    <s v="No"/>
    <s v="Non-Travel"/>
    <x v="2"/>
    <s v="Current Employees"/>
    <x v="1"/>
    <x v="2"/>
    <x v="931"/>
    <x v="931"/>
    <x v="0"/>
    <x v="3"/>
    <x v="0"/>
    <s v="Yes"/>
    <s v="Y"/>
    <n v="3"/>
    <n v="-2"/>
    <n v="0"/>
    <n v="30"/>
    <n v="0"/>
    <m/>
    <n v="0"/>
    <n v="1"/>
    <n v="879"/>
    <n v="9"/>
    <x v="0"/>
    <n v="1"/>
    <n v="3"/>
    <n v="72"/>
    <n v="3"/>
    <n v="2"/>
    <n v="3"/>
    <n v="4695"/>
    <n v="12858"/>
    <n v="7"/>
    <n v="18"/>
    <n v="3"/>
    <n v="3"/>
    <n v="80"/>
    <n v="0"/>
    <n v="10"/>
    <n v="3"/>
    <n v="8"/>
    <n v="4"/>
    <n v="1"/>
    <n v="7"/>
  </r>
  <r>
    <s v="Yes"/>
    <s v="Travel_Rarely"/>
    <x v="2"/>
    <s v="Ex-Employees"/>
    <x v="1"/>
    <x v="4"/>
    <x v="932"/>
    <x v="932"/>
    <x v="0"/>
    <x v="2"/>
    <x v="2"/>
    <s v="Yes"/>
    <s v="Y"/>
    <n v="2"/>
    <n v="-2"/>
    <n v="0"/>
    <n v="29"/>
    <n v="1"/>
    <n v="1"/>
    <n v="1"/>
    <n v="0"/>
    <n v="806"/>
    <n v="7"/>
    <x v="3"/>
    <n v="1"/>
    <n v="4"/>
    <n v="39"/>
    <n v="3"/>
    <n v="1"/>
    <n v="4"/>
    <n v="3339"/>
    <n v="17285"/>
    <n v="3"/>
    <n v="13"/>
    <n v="3"/>
    <n v="1"/>
    <n v="80"/>
    <n v="2"/>
    <n v="10"/>
    <n v="3"/>
    <n v="7"/>
    <n v="7"/>
    <n v="7"/>
    <n v="7"/>
  </r>
  <r>
    <s v="No"/>
    <s v="Travel_Rarely"/>
    <x v="2"/>
    <s v="Current Employees"/>
    <x v="1"/>
    <x v="4"/>
    <x v="933"/>
    <x v="933"/>
    <x v="1"/>
    <x v="1"/>
    <x v="0"/>
    <s v="No"/>
    <s v="Y"/>
    <n v="2"/>
    <n v="-2"/>
    <n v="0"/>
    <n v="28"/>
    <n v="0"/>
    <m/>
    <n v="0"/>
    <n v="1"/>
    <n v="640"/>
    <n v="1"/>
    <x v="3"/>
    <n v="1"/>
    <n v="4"/>
    <n v="84"/>
    <n v="3"/>
    <n v="1"/>
    <n v="4"/>
    <n v="2080"/>
    <n v="4732"/>
    <n v="2"/>
    <n v="11"/>
    <n v="3"/>
    <n v="2"/>
    <n v="80"/>
    <n v="0"/>
    <n v="5"/>
    <n v="2"/>
    <n v="3"/>
    <n v="2"/>
    <n v="1"/>
    <n v="2"/>
  </r>
  <r>
    <s v="No"/>
    <s v="Travel_Rarely"/>
    <x v="2"/>
    <s v="Current Employees"/>
    <x v="1"/>
    <x v="2"/>
    <x v="934"/>
    <x v="934"/>
    <x v="0"/>
    <x v="1"/>
    <x v="0"/>
    <s v="No"/>
    <s v="Y"/>
    <n v="3"/>
    <n v="-2"/>
    <n v="0"/>
    <n v="25"/>
    <n v="0"/>
    <m/>
    <n v="0"/>
    <n v="1"/>
    <n v="266"/>
    <n v="1"/>
    <x v="3"/>
    <n v="1"/>
    <n v="4"/>
    <n v="40"/>
    <n v="3"/>
    <n v="1"/>
    <n v="2"/>
    <n v="2096"/>
    <n v="18830"/>
    <n v="1"/>
    <n v="18"/>
    <n v="3"/>
    <n v="4"/>
    <n v="80"/>
    <n v="0"/>
    <n v="2"/>
    <n v="2"/>
    <n v="2"/>
    <n v="2"/>
    <n v="2"/>
    <n v="1"/>
  </r>
  <r>
    <s v="No"/>
    <s v="Travel_Rarely"/>
    <x v="2"/>
    <s v="Current Employees"/>
    <x v="0"/>
    <x v="2"/>
    <x v="935"/>
    <x v="935"/>
    <x v="1"/>
    <x v="0"/>
    <x v="1"/>
    <s v="No"/>
    <s v="Y"/>
    <n v="4"/>
    <n v="-2"/>
    <n v="0"/>
    <n v="32"/>
    <n v="0"/>
    <m/>
    <n v="0"/>
    <n v="1"/>
    <n v="604"/>
    <n v="8"/>
    <x v="3"/>
    <n v="1"/>
    <n v="3"/>
    <n v="56"/>
    <n v="4"/>
    <n v="2"/>
    <n v="4"/>
    <n v="6209"/>
    <n v="11693"/>
    <n v="1"/>
    <n v="15"/>
    <n v="3"/>
    <n v="3"/>
    <n v="80"/>
    <n v="2"/>
    <n v="10"/>
    <n v="4"/>
    <n v="10"/>
    <n v="7"/>
    <n v="0"/>
    <n v="8"/>
  </r>
  <r>
    <s v="No"/>
    <s v="Travel_Frequently"/>
    <x v="1"/>
    <s v="Current Employees"/>
    <x v="1"/>
    <x v="2"/>
    <x v="936"/>
    <x v="936"/>
    <x v="0"/>
    <x v="5"/>
    <x v="0"/>
    <s v="No"/>
    <s v="Y"/>
    <n v="4"/>
    <n v="-2"/>
    <n v="0"/>
    <n v="45"/>
    <n v="0"/>
    <m/>
    <n v="0"/>
    <n v="1"/>
    <n v="364"/>
    <n v="25"/>
    <x v="3"/>
    <n v="1"/>
    <n v="2"/>
    <n v="83"/>
    <n v="3"/>
    <n v="5"/>
    <n v="2"/>
    <n v="18061"/>
    <n v="13035"/>
    <n v="3"/>
    <n v="22"/>
    <n v="4"/>
    <n v="3"/>
    <n v="80"/>
    <n v="0"/>
    <n v="22"/>
    <n v="3"/>
    <n v="0"/>
    <n v="0"/>
    <n v="0"/>
    <n v="0"/>
  </r>
  <r>
    <s v="No"/>
    <s v="Travel_Rarely"/>
    <x v="0"/>
    <s v="Current Employees"/>
    <x v="1"/>
    <x v="2"/>
    <x v="937"/>
    <x v="937"/>
    <x v="0"/>
    <x v="5"/>
    <x v="2"/>
    <s v="Yes"/>
    <s v="Y"/>
    <n v="4"/>
    <n v="-2"/>
    <n v="0"/>
    <n v="39"/>
    <n v="0"/>
    <m/>
    <n v="0"/>
    <n v="1"/>
    <n v="412"/>
    <n v="13"/>
    <x v="2"/>
    <n v="1"/>
    <n v="3"/>
    <n v="94"/>
    <n v="2"/>
    <n v="4"/>
    <n v="2"/>
    <n v="17123"/>
    <n v="17334"/>
    <n v="6"/>
    <n v="13"/>
    <n v="3"/>
    <n v="4"/>
    <n v="80"/>
    <n v="2"/>
    <n v="21"/>
    <n v="3"/>
    <n v="19"/>
    <n v="9"/>
    <n v="15"/>
    <n v="2"/>
  </r>
  <r>
    <s v="No"/>
    <s v="Travel_Rarely"/>
    <x v="3"/>
    <s v="Current Employees"/>
    <x v="1"/>
    <x v="0"/>
    <x v="938"/>
    <x v="938"/>
    <x v="1"/>
    <x v="1"/>
    <x v="2"/>
    <s v="No"/>
    <s v="Y"/>
    <n v="3"/>
    <n v="-2"/>
    <n v="0"/>
    <n v="58"/>
    <n v="0"/>
    <m/>
    <n v="0"/>
    <n v="1"/>
    <n v="848"/>
    <n v="23"/>
    <x v="2"/>
    <n v="1"/>
    <n v="1"/>
    <n v="88"/>
    <n v="3"/>
    <n v="1"/>
    <n v="3"/>
    <n v="2372"/>
    <n v="26076"/>
    <n v="1"/>
    <n v="12"/>
    <n v="3"/>
    <n v="4"/>
    <n v="80"/>
    <n v="2"/>
    <n v="2"/>
    <n v="3"/>
    <n v="2"/>
    <n v="2"/>
    <n v="2"/>
    <n v="2"/>
  </r>
  <r>
    <s v="Yes"/>
    <s v="Travel_Rarely"/>
    <x v="2"/>
    <s v="Ex-Employees"/>
    <x v="1"/>
    <x v="0"/>
    <x v="939"/>
    <x v="939"/>
    <x v="1"/>
    <x v="2"/>
    <x v="1"/>
    <s v="No"/>
    <s v="Y"/>
    <n v="3"/>
    <n v="-2"/>
    <n v="0"/>
    <n v="32"/>
    <n v="1"/>
    <n v="1"/>
    <n v="1"/>
    <n v="0"/>
    <n v="1089"/>
    <n v="7"/>
    <x v="0"/>
    <n v="1"/>
    <n v="4"/>
    <n v="79"/>
    <n v="3"/>
    <n v="2"/>
    <n v="3"/>
    <n v="4883"/>
    <n v="22845"/>
    <n v="1"/>
    <n v="18"/>
    <n v="3"/>
    <n v="1"/>
    <n v="80"/>
    <n v="1"/>
    <n v="10"/>
    <n v="3"/>
    <n v="10"/>
    <n v="4"/>
    <n v="1"/>
    <n v="1"/>
  </r>
  <r>
    <s v="Yes"/>
    <s v="Travel_Rarely"/>
    <x v="0"/>
    <s v="Ex-Employees"/>
    <x v="1"/>
    <x v="2"/>
    <x v="940"/>
    <x v="940"/>
    <x v="1"/>
    <x v="1"/>
    <x v="0"/>
    <s v="No"/>
    <s v="Y"/>
    <n v="2"/>
    <n v="-2"/>
    <n v="0"/>
    <n v="39"/>
    <n v="1"/>
    <n v="1"/>
    <n v="1"/>
    <n v="0"/>
    <n v="360"/>
    <n v="23"/>
    <x v="3"/>
    <n v="1"/>
    <n v="3"/>
    <n v="93"/>
    <n v="3"/>
    <n v="1"/>
    <n v="3"/>
    <n v="3904"/>
    <n v="22154"/>
    <n v="0"/>
    <n v="13"/>
    <n v="3"/>
    <n v="1"/>
    <n v="80"/>
    <n v="0"/>
    <n v="6"/>
    <n v="3"/>
    <n v="5"/>
    <n v="2"/>
    <n v="0"/>
    <n v="3"/>
  </r>
  <r>
    <s v="No"/>
    <s v="Travel_Rarely"/>
    <x v="2"/>
    <s v="Current Employees"/>
    <x v="1"/>
    <x v="4"/>
    <x v="941"/>
    <x v="941"/>
    <x v="0"/>
    <x v="2"/>
    <x v="1"/>
    <s v="No"/>
    <s v="Y"/>
    <n v="6"/>
    <n v="-2"/>
    <n v="0"/>
    <n v="30"/>
    <n v="0"/>
    <m/>
    <n v="0"/>
    <n v="1"/>
    <n v="1138"/>
    <n v="6"/>
    <x v="3"/>
    <n v="1"/>
    <n v="4"/>
    <n v="48"/>
    <n v="2"/>
    <n v="2"/>
    <n v="4"/>
    <n v="4627"/>
    <n v="23631"/>
    <n v="0"/>
    <n v="12"/>
    <n v="3"/>
    <n v="1"/>
    <n v="80"/>
    <n v="1"/>
    <n v="10"/>
    <n v="3"/>
    <n v="9"/>
    <n v="2"/>
    <n v="6"/>
    <n v="7"/>
  </r>
  <r>
    <s v="No"/>
    <s v="Travel_Rarely"/>
    <x v="0"/>
    <s v="Current Employees"/>
    <x v="1"/>
    <x v="4"/>
    <x v="942"/>
    <x v="942"/>
    <x v="0"/>
    <x v="4"/>
    <x v="1"/>
    <s v="No"/>
    <s v="Y"/>
    <n v="0"/>
    <n v="-2"/>
    <n v="0"/>
    <n v="36"/>
    <n v="0"/>
    <m/>
    <n v="0"/>
    <n v="1"/>
    <n v="325"/>
    <n v="10"/>
    <x v="2"/>
    <n v="1"/>
    <n v="4"/>
    <n v="63"/>
    <n v="3"/>
    <n v="3"/>
    <n v="4"/>
    <n v="7094"/>
    <n v="5747"/>
    <n v="3"/>
    <n v="12"/>
    <n v="3"/>
    <n v="1"/>
    <n v="80"/>
    <n v="0"/>
    <n v="10"/>
    <n v="3"/>
    <n v="7"/>
    <n v="7"/>
    <n v="1"/>
    <n v="7"/>
  </r>
  <r>
    <s v="No"/>
    <s v="Travel_Rarely"/>
    <x v="1"/>
    <s v="Current Employees"/>
    <x v="2"/>
    <x v="0"/>
    <x v="943"/>
    <x v="943"/>
    <x v="0"/>
    <x v="8"/>
    <x v="0"/>
    <s v="No"/>
    <s v="Y"/>
    <n v="3"/>
    <n v="-2"/>
    <n v="0"/>
    <n v="46"/>
    <n v="0"/>
    <m/>
    <n v="0"/>
    <n v="1"/>
    <n v="991"/>
    <n v="1"/>
    <x v="0"/>
    <n v="1"/>
    <n v="4"/>
    <n v="44"/>
    <n v="3"/>
    <n v="1"/>
    <n v="3"/>
    <n v="3423"/>
    <n v="22957"/>
    <n v="6"/>
    <n v="12"/>
    <n v="3"/>
    <n v="3"/>
    <n v="80"/>
    <n v="0"/>
    <n v="10"/>
    <n v="4"/>
    <n v="7"/>
    <n v="6"/>
    <n v="5"/>
    <n v="7"/>
  </r>
  <r>
    <s v="No"/>
    <s v="Non-Travel"/>
    <x v="2"/>
    <s v="Current Employees"/>
    <x v="1"/>
    <x v="0"/>
    <x v="944"/>
    <x v="944"/>
    <x v="0"/>
    <x v="2"/>
    <x v="1"/>
    <s v="No"/>
    <s v="Y"/>
    <n v="6"/>
    <n v="-2"/>
    <n v="0"/>
    <n v="28"/>
    <n v="0"/>
    <m/>
    <n v="0"/>
    <n v="1"/>
    <n v="1476"/>
    <n v="1"/>
    <x v="3"/>
    <n v="1"/>
    <n v="3"/>
    <n v="55"/>
    <n v="1"/>
    <n v="2"/>
    <n v="4"/>
    <n v="6674"/>
    <n v="16392"/>
    <n v="0"/>
    <n v="11"/>
    <n v="3"/>
    <n v="1"/>
    <n v="80"/>
    <n v="3"/>
    <n v="10"/>
    <n v="3"/>
    <n v="9"/>
    <n v="8"/>
    <n v="7"/>
    <n v="5"/>
  </r>
  <r>
    <s v="No"/>
    <s v="Travel_Rarely"/>
    <x v="1"/>
    <s v="Current Employees"/>
    <x v="1"/>
    <x v="0"/>
    <x v="945"/>
    <x v="945"/>
    <x v="0"/>
    <x v="7"/>
    <x v="1"/>
    <s v="Yes"/>
    <s v="Y"/>
    <n v="2"/>
    <n v="-2"/>
    <n v="0"/>
    <n v="50"/>
    <n v="0"/>
    <m/>
    <n v="0"/>
    <n v="1"/>
    <n v="1322"/>
    <n v="28"/>
    <x v="3"/>
    <n v="1"/>
    <n v="4"/>
    <n v="43"/>
    <n v="3"/>
    <n v="4"/>
    <n v="3"/>
    <n v="16880"/>
    <n v="22422"/>
    <n v="4"/>
    <n v="11"/>
    <n v="3"/>
    <n v="2"/>
    <n v="80"/>
    <n v="0"/>
    <n v="25"/>
    <n v="3"/>
    <n v="3"/>
    <n v="2"/>
    <n v="1"/>
    <n v="2"/>
  </r>
  <r>
    <s v="Yes"/>
    <s v="Travel_Rarely"/>
    <x v="0"/>
    <s v="Ex-Employees"/>
    <x v="0"/>
    <x v="3"/>
    <x v="946"/>
    <x v="946"/>
    <x v="1"/>
    <x v="0"/>
    <x v="0"/>
    <s v="Yes"/>
    <s v="Y"/>
    <n v="2"/>
    <n v="-2"/>
    <n v="0"/>
    <n v="40"/>
    <n v="1"/>
    <n v="1"/>
    <n v="1"/>
    <n v="0"/>
    <n v="299"/>
    <n v="25"/>
    <x v="2"/>
    <n v="1"/>
    <n v="4"/>
    <n v="57"/>
    <n v="2"/>
    <n v="3"/>
    <n v="2"/>
    <n v="9094"/>
    <n v="17235"/>
    <n v="2"/>
    <n v="12"/>
    <n v="3"/>
    <n v="3"/>
    <n v="80"/>
    <n v="0"/>
    <n v="9"/>
    <n v="3"/>
    <n v="5"/>
    <n v="4"/>
    <n v="1"/>
    <n v="0"/>
  </r>
  <r>
    <s v="Yes"/>
    <s v="Travel_Rarely"/>
    <x v="1"/>
    <s v="Ex-Employees"/>
    <x v="0"/>
    <x v="0"/>
    <x v="947"/>
    <x v="947"/>
    <x v="1"/>
    <x v="0"/>
    <x v="0"/>
    <s v="Yes"/>
    <s v="Y"/>
    <n v="2"/>
    <n v="-2"/>
    <n v="0"/>
    <n v="52"/>
    <n v="1"/>
    <n v="1"/>
    <n v="1"/>
    <n v="0"/>
    <n v="1030"/>
    <n v="5"/>
    <x v="3"/>
    <n v="1"/>
    <n v="2"/>
    <n v="64"/>
    <n v="3"/>
    <n v="3"/>
    <n v="2"/>
    <n v="8446"/>
    <n v="21534"/>
    <n v="9"/>
    <n v="19"/>
    <n v="3"/>
    <n v="3"/>
    <n v="80"/>
    <n v="0"/>
    <n v="10"/>
    <n v="2"/>
    <n v="8"/>
    <n v="7"/>
    <n v="7"/>
    <n v="7"/>
  </r>
  <r>
    <s v="No"/>
    <s v="Travel_Rarely"/>
    <x v="2"/>
    <s v="Current Employees"/>
    <x v="1"/>
    <x v="2"/>
    <x v="948"/>
    <x v="948"/>
    <x v="0"/>
    <x v="5"/>
    <x v="1"/>
    <s v="Yes"/>
    <s v="Y"/>
    <n v="2"/>
    <n v="-2"/>
    <n v="0"/>
    <n v="30"/>
    <n v="0"/>
    <m/>
    <n v="0"/>
    <n v="1"/>
    <n v="634"/>
    <n v="17"/>
    <x v="2"/>
    <n v="1"/>
    <n v="2"/>
    <n v="95"/>
    <n v="3"/>
    <n v="3"/>
    <n v="3"/>
    <n v="11916"/>
    <n v="25927"/>
    <n v="1"/>
    <n v="23"/>
    <n v="4"/>
    <n v="4"/>
    <n v="80"/>
    <n v="2"/>
    <n v="9"/>
    <n v="3"/>
    <n v="9"/>
    <n v="1"/>
    <n v="0"/>
    <n v="8"/>
  </r>
  <r>
    <s v="No"/>
    <s v="Travel_Rarely"/>
    <x v="0"/>
    <s v="Current Employees"/>
    <x v="1"/>
    <x v="0"/>
    <x v="949"/>
    <x v="949"/>
    <x v="1"/>
    <x v="3"/>
    <x v="0"/>
    <s v="No"/>
    <s v="Y"/>
    <n v="6"/>
    <n v="-2"/>
    <n v="0"/>
    <n v="39"/>
    <n v="0"/>
    <m/>
    <n v="0"/>
    <n v="1"/>
    <n v="524"/>
    <n v="18"/>
    <x v="0"/>
    <n v="1"/>
    <n v="1"/>
    <n v="32"/>
    <n v="3"/>
    <n v="2"/>
    <n v="3"/>
    <n v="4534"/>
    <n v="13352"/>
    <n v="0"/>
    <n v="11"/>
    <n v="3"/>
    <n v="1"/>
    <n v="80"/>
    <n v="0"/>
    <n v="9"/>
    <n v="3"/>
    <n v="8"/>
    <n v="7"/>
    <n v="1"/>
    <n v="7"/>
  </r>
  <r>
    <s v="No"/>
    <s v="Non-Travel"/>
    <x v="2"/>
    <s v="Current Employees"/>
    <x v="0"/>
    <x v="0"/>
    <x v="950"/>
    <x v="950"/>
    <x v="0"/>
    <x v="0"/>
    <x v="2"/>
    <s v="Yes"/>
    <s v="Y"/>
    <n v="5"/>
    <n v="-2"/>
    <n v="0"/>
    <n v="31"/>
    <n v="0"/>
    <m/>
    <n v="0"/>
    <n v="1"/>
    <n v="587"/>
    <n v="2"/>
    <x v="2"/>
    <n v="1"/>
    <n v="4"/>
    <n v="57"/>
    <n v="3"/>
    <n v="3"/>
    <n v="3"/>
    <n v="9852"/>
    <n v="8935"/>
    <n v="1"/>
    <n v="19"/>
    <n v="3"/>
    <n v="1"/>
    <n v="80"/>
    <n v="1"/>
    <n v="10"/>
    <n v="2"/>
    <n v="10"/>
    <n v="8"/>
    <n v="9"/>
    <n v="6"/>
  </r>
  <r>
    <s v="No"/>
    <s v="Non-Travel"/>
    <x v="0"/>
    <s v="Current Employees"/>
    <x v="0"/>
    <x v="2"/>
    <x v="951"/>
    <x v="951"/>
    <x v="1"/>
    <x v="0"/>
    <x v="0"/>
    <s v="No"/>
    <s v="Y"/>
    <n v="4"/>
    <n v="-2"/>
    <n v="0"/>
    <n v="41"/>
    <n v="0"/>
    <m/>
    <n v="0"/>
    <n v="1"/>
    <n v="256"/>
    <n v="10"/>
    <x v="0"/>
    <n v="1"/>
    <n v="3"/>
    <n v="40"/>
    <n v="1"/>
    <n v="2"/>
    <n v="2"/>
    <n v="6151"/>
    <n v="22074"/>
    <n v="1"/>
    <n v="13"/>
    <n v="3"/>
    <n v="1"/>
    <n v="80"/>
    <n v="0"/>
    <n v="19"/>
    <n v="3"/>
    <n v="19"/>
    <n v="2"/>
    <n v="11"/>
    <n v="9"/>
  </r>
  <r>
    <s v="Yes"/>
    <s v="Travel_Frequently"/>
    <x v="2"/>
    <s v="Ex-Employees"/>
    <x v="0"/>
    <x v="0"/>
    <x v="952"/>
    <x v="952"/>
    <x v="0"/>
    <x v="6"/>
    <x v="0"/>
    <s v="Yes"/>
    <s v="Y"/>
    <n v="2"/>
    <n v="-2"/>
    <n v="0"/>
    <n v="31"/>
    <n v="1"/>
    <n v="1"/>
    <n v="1"/>
    <n v="0"/>
    <n v="1060"/>
    <n v="1"/>
    <x v="3"/>
    <n v="1"/>
    <n v="4"/>
    <n v="54"/>
    <n v="3"/>
    <n v="1"/>
    <n v="2"/>
    <n v="2302"/>
    <n v="8319"/>
    <n v="1"/>
    <n v="11"/>
    <n v="3"/>
    <n v="1"/>
    <n v="80"/>
    <n v="0"/>
    <n v="3"/>
    <n v="4"/>
    <n v="3"/>
    <n v="2"/>
    <n v="2"/>
    <n v="2"/>
  </r>
  <r>
    <s v="Yes"/>
    <s v="Travel_Rarely"/>
    <x v="0"/>
    <s v="Ex-Employees"/>
    <x v="1"/>
    <x v="0"/>
    <x v="953"/>
    <x v="953"/>
    <x v="1"/>
    <x v="2"/>
    <x v="1"/>
    <s v="No"/>
    <s v="Y"/>
    <n v="4"/>
    <n v="-2"/>
    <n v="0"/>
    <n v="44"/>
    <n v="1"/>
    <n v="1"/>
    <n v="1"/>
    <n v="0"/>
    <n v="935"/>
    <n v="3"/>
    <x v="3"/>
    <n v="1"/>
    <n v="1"/>
    <n v="89"/>
    <n v="3"/>
    <n v="1"/>
    <n v="3"/>
    <n v="2362"/>
    <n v="14669"/>
    <n v="4"/>
    <n v="12"/>
    <n v="3"/>
    <n v="3"/>
    <n v="80"/>
    <n v="0"/>
    <n v="10"/>
    <n v="4"/>
    <n v="3"/>
    <n v="2"/>
    <n v="1"/>
    <n v="2"/>
  </r>
  <r>
    <s v="No"/>
    <s v="Non-Travel"/>
    <x v="0"/>
    <s v="Current Employees"/>
    <x v="1"/>
    <x v="0"/>
    <x v="954"/>
    <x v="954"/>
    <x v="1"/>
    <x v="5"/>
    <x v="1"/>
    <s v="Yes"/>
    <s v="Y"/>
    <n v="3"/>
    <n v="-2"/>
    <n v="0"/>
    <n v="42"/>
    <n v="0"/>
    <m/>
    <n v="0"/>
    <n v="1"/>
    <n v="495"/>
    <n v="2"/>
    <x v="1"/>
    <n v="1"/>
    <n v="3"/>
    <n v="37"/>
    <n v="3"/>
    <n v="4"/>
    <n v="3"/>
    <n v="17861"/>
    <n v="26582"/>
    <n v="0"/>
    <n v="13"/>
    <n v="3"/>
    <n v="4"/>
    <n v="80"/>
    <n v="0"/>
    <n v="21"/>
    <n v="2"/>
    <n v="20"/>
    <n v="8"/>
    <n v="2"/>
    <n v="10"/>
  </r>
  <r>
    <s v="No"/>
    <s v="Travel_Rarely"/>
    <x v="3"/>
    <s v="Current Employees"/>
    <x v="1"/>
    <x v="2"/>
    <x v="955"/>
    <x v="955"/>
    <x v="0"/>
    <x v="5"/>
    <x v="1"/>
    <s v="No"/>
    <s v="Y"/>
    <n v="5"/>
    <n v="-2"/>
    <n v="0"/>
    <n v="55"/>
    <n v="0"/>
    <m/>
    <n v="0"/>
    <n v="1"/>
    <n v="282"/>
    <n v="2"/>
    <x v="0"/>
    <n v="1"/>
    <n v="4"/>
    <n v="58"/>
    <n v="1"/>
    <n v="5"/>
    <n v="3"/>
    <n v="19187"/>
    <n v="6992"/>
    <n v="4"/>
    <n v="14"/>
    <n v="3"/>
    <n v="4"/>
    <n v="80"/>
    <n v="1"/>
    <n v="23"/>
    <n v="3"/>
    <n v="19"/>
    <n v="9"/>
    <n v="9"/>
    <n v="11"/>
  </r>
  <r>
    <s v="No"/>
    <s v="Travel_Rarely"/>
    <x v="3"/>
    <s v="Current Employees"/>
    <x v="2"/>
    <x v="0"/>
    <x v="956"/>
    <x v="956"/>
    <x v="1"/>
    <x v="5"/>
    <x v="0"/>
    <s v="No"/>
    <s v="Y"/>
    <n v="4"/>
    <n v="-2"/>
    <n v="0"/>
    <n v="56"/>
    <n v="0"/>
    <m/>
    <n v="0"/>
    <n v="1"/>
    <n v="206"/>
    <n v="8"/>
    <x v="2"/>
    <n v="1"/>
    <n v="4"/>
    <n v="99"/>
    <n v="3"/>
    <n v="5"/>
    <n v="2"/>
    <n v="19717"/>
    <n v="4022"/>
    <n v="6"/>
    <n v="14"/>
    <n v="3"/>
    <n v="1"/>
    <n v="80"/>
    <n v="0"/>
    <n v="36"/>
    <n v="3"/>
    <n v="7"/>
    <n v="3"/>
    <n v="7"/>
    <n v="7"/>
  </r>
  <r>
    <s v="No"/>
    <s v="Non-Travel"/>
    <x v="0"/>
    <s v="Current Employees"/>
    <x v="1"/>
    <x v="0"/>
    <x v="957"/>
    <x v="957"/>
    <x v="1"/>
    <x v="1"/>
    <x v="2"/>
    <s v="No"/>
    <s v="Y"/>
    <n v="0"/>
    <n v="-2"/>
    <n v="0"/>
    <n v="40"/>
    <n v="0"/>
    <m/>
    <n v="0"/>
    <n v="1"/>
    <n v="458"/>
    <n v="16"/>
    <x v="0"/>
    <n v="1"/>
    <n v="3"/>
    <n v="74"/>
    <n v="3"/>
    <n v="1"/>
    <n v="3"/>
    <n v="3544"/>
    <n v="8532"/>
    <n v="9"/>
    <n v="16"/>
    <n v="3"/>
    <n v="2"/>
    <n v="80"/>
    <n v="1"/>
    <n v="6"/>
    <n v="3"/>
    <n v="4"/>
    <n v="2"/>
    <n v="0"/>
    <n v="0"/>
  </r>
  <r>
    <s v="No"/>
    <s v="Travel_Rarely"/>
    <x v="2"/>
    <s v="Current Employees"/>
    <x v="1"/>
    <x v="0"/>
    <x v="958"/>
    <x v="958"/>
    <x v="1"/>
    <x v="4"/>
    <x v="2"/>
    <s v="No"/>
    <s v="Y"/>
    <n v="0"/>
    <n v="-2"/>
    <n v="0"/>
    <n v="34"/>
    <n v="0"/>
    <m/>
    <n v="0"/>
    <n v="1"/>
    <n v="943"/>
    <n v="9"/>
    <x v="3"/>
    <n v="1"/>
    <n v="4"/>
    <n v="86"/>
    <n v="3"/>
    <n v="3"/>
    <n v="4"/>
    <n v="8500"/>
    <n v="5494"/>
    <n v="0"/>
    <n v="11"/>
    <n v="3"/>
    <n v="4"/>
    <n v="80"/>
    <n v="1"/>
    <n v="10"/>
    <n v="2"/>
    <n v="9"/>
    <n v="7"/>
    <n v="1"/>
    <n v="6"/>
  </r>
  <r>
    <s v="No"/>
    <s v="Travel_Rarely"/>
    <x v="0"/>
    <s v="Current Employees"/>
    <x v="1"/>
    <x v="0"/>
    <x v="959"/>
    <x v="959"/>
    <x v="1"/>
    <x v="1"/>
    <x v="0"/>
    <s v="No"/>
    <s v="Y"/>
    <n v="4"/>
    <n v="-2"/>
    <n v="0"/>
    <n v="40"/>
    <n v="0"/>
    <m/>
    <n v="0"/>
    <n v="1"/>
    <n v="523"/>
    <n v="2"/>
    <x v="3"/>
    <n v="1"/>
    <n v="3"/>
    <n v="98"/>
    <n v="3"/>
    <n v="2"/>
    <n v="4"/>
    <n v="4661"/>
    <n v="22455"/>
    <n v="1"/>
    <n v="13"/>
    <n v="3"/>
    <n v="3"/>
    <n v="80"/>
    <n v="0"/>
    <n v="9"/>
    <n v="3"/>
    <n v="9"/>
    <n v="8"/>
    <n v="8"/>
    <n v="8"/>
  </r>
  <r>
    <s v="No"/>
    <s v="Travel_Frequently"/>
    <x v="0"/>
    <s v="Current Employees"/>
    <x v="0"/>
    <x v="3"/>
    <x v="960"/>
    <x v="960"/>
    <x v="0"/>
    <x v="0"/>
    <x v="2"/>
    <s v="No"/>
    <s v="Y"/>
    <n v="2"/>
    <n v="-2"/>
    <n v="0"/>
    <n v="41"/>
    <n v="0"/>
    <m/>
    <n v="0"/>
    <n v="1"/>
    <n v="1018"/>
    <n v="1"/>
    <x v="3"/>
    <n v="1"/>
    <n v="3"/>
    <n v="66"/>
    <n v="3"/>
    <n v="2"/>
    <n v="2"/>
    <n v="4103"/>
    <n v="4297"/>
    <n v="0"/>
    <n v="17"/>
    <n v="3"/>
    <n v="4"/>
    <n v="80"/>
    <n v="1"/>
    <n v="10"/>
    <n v="3"/>
    <n v="9"/>
    <n v="3"/>
    <n v="1"/>
    <n v="7"/>
  </r>
  <r>
    <s v="No"/>
    <s v="Travel_Frequently"/>
    <x v="0"/>
    <s v="Current Employees"/>
    <x v="1"/>
    <x v="0"/>
    <x v="961"/>
    <x v="961"/>
    <x v="1"/>
    <x v="1"/>
    <x v="0"/>
    <s v="Yes"/>
    <s v="Y"/>
    <n v="3"/>
    <n v="-2"/>
    <n v="0"/>
    <n v="35"/>
    <n v="0"/>
    <m/>
    <n v="0"/>
    <n v="1"/>
    <n v="482"/>
    <n v="4"/>
    <x v="2"/>
    <n v="1"/>
    <n v="3"/>
    <n v="87"/>
    <n v="3"/>
    <n v="2"/>
    <n v="3"/>
    <n v="4249"/>
    <n v="2690"/>
    <n v="1"/>
    <n v="11"/>
    <n v="3"/>
    <n v="2"/>
    <n v="80"/>
    <n v="0"/>
    <n v="9"/>
    <n v="3"/>
    <n v="9"/>
    <n v="6"/>
    <n v="1"/>
    <n v="1"/>
  </r>
  <r>
    <s v="No"/>
    <s v="Travel_Rarely"/>
    <x v="1"/>
    <s v="Current Employees"/>
    <x v="2"/>
    <x v="0"/>
    <x v="962"/>
    <x v="962"/>
    <x v="1"/>
    <x v="5"/>
    <x v="2"/>
    <s v="Yes"/>
    <s v="Y"/>
    <n v="2"/>
    <n v="-2"/>
    <n v="0"/>
    <n v="51"/>
    <n v="0"/>
    <m/>
    <n v="0"/>
    <n v="1"/>
    <n v="770"/>
    <n v="5"/>
    <x v="3"/>
    <n v="1"/>
    <n v="3"/>
    <n v="84"/>
    <n v="3"/>
    <n v="4"/>
    <n v="2"/>
    <n v="14026"/>
    <n v="17588"/>
    <n v="1"/>
    <n v="11"/>
    <n v="3"/>
    <n v="2"/>
    <n v="80"/>
    <n v="1"/>
    <n v="33"/>
    <n v="3"/>
    <n v="33"/>
    <n v="9"/>
    <n v="0"/>
    <n v="10"/>
  </r>
  <r>
    <s v="No"/>
    <s v="Travel_Rarely"/>
    <x v="0"/>
    <s v="Current Employees"/>
    <x v="0"/>
    <x v="0"/>
    <x v="963"/>
    <x v="963"/>
    <x v="0"/>
    <x v="0"/>
    <x v="2"/>
    <s v="No"/>
    <s v="Y"/>
    <n v="3"/>
    <n v="-2"/>
    <n v="0"/>
    <n v="38"/>
    <n v="0"/>
    <m/>
    <n v="0"/>
    <n v="1"/>
    <n v="1009"/>
    <n v="2"/>
    <x v="0"/>
    <n v="1"/>
    <n v="2"/>
    <n v="31"/>
    <n v="3"/>
    <n v="2"/>
    <n v="3"/>
    <n v="6893"/>
    <n v="19461"/>
    <n v="3"/>
    <n v="15"/>
    <n v="3"/>
    <n v="4"/>
    <n v="80"/>
    <n v="1"/>
    <n v="11"/>
    <n v="3"/>
    <n v="7"/>
    <n v="7"/>
    <n v="1"/>
    <n v="7"/>
  </r>
  <r>
    <s v="No"/>
    <s v="Travel_Rarely"/>
    <x v="2"/>
    <s v="Current Employees"/>
    <x v="0"/>
    <x v="2"/>
    <x v="964"/>
    <x v="964"/>
    <x v="0"/>
    <x v="0"/>
    <x v="0"/>
    <s v="No"/>
    <s v="Y"/>
    <n v="6"/>
    <n v="-2"/>
    <n v="0"/>
    <n v="34"/>
    <n v="0"/>
    <m/>
    <n v="0"/>
    <n v="1"/>
    <n v="507"/>
    <n v="15"/>
    <x v="0"/>
    <n v="1"/>
    <n v="3"/>
    <n v="66"/>
    <n v="3"/>
    <n v="2"/>
    <n v="3"/>
    <n v="6125"/>
    <n v="23553"/>
    <n v="1"/>
    <n v="12"/>
    <n v="3"/>
    <n v="4"/>
    <n v="80"/>
    <n v="0"/>
    <n v="10"/>
    <n v="4"/>
    <n v="10"/>
    <n v="8"/>
    <n v="9"/>
    <n v="6"/>
  </r>
  <r>
    <s v="No"/>
    <s v="Travel_Rarely"/>
    <x v="2"/>
    <s v="Current Employees"/>
    <x v="1"/>
    <x v="2"/>
    <x v="965"/>
    <x v="965"/>
    <x v="1"/>
    <x v="2"/>
    <x v="1"/>
    <s v="No"/>
    <s v="Y"/>
    <n v="6"/>
    <n v="-2"/>
    <n v="0"/>
    <n v="25"/>
    <n v="0"/>
    <m/>
    <n v="0"/>
    <n v="1"/>
    <n v="882"/>
    <n v="19"/>
    <x v="1"/>
    <n v="1"/>
    <n v="4"/>
    <n v="67"/>
    <n v="3"/>
    <n v="1"/>
    <n v="4"/>
    <n v="3669"/>
    <n v="9075"/>
    <n v="3"/>
    <n v="11"/>
    <n v="3"/>
    <n v="3"/>
    <n v="80"/>
    <n v="3"/>
    <n v="7"/>
    <n v="2"/>
    <n v="3"/>
    <n v="2"/>
    <n v="1"/>
    <n v="2"/>
  </r>
  <r>
    <s v="Yes"/>
    <s v="Travel_Rarely"/>
    <x v="3"/>
    <s v="Ex-Employees"/>
    <x v="1"/>
    <x v="2"/>
    <x v="966"/>
    <x v="966"/>
    <x v="0"/>
    <x v="3"/>
    <x v="1"/>
    <s v="Yes"/>
    <s v="Y"/>
    <n v="0"/>
    <n v="-2"/>
    <n v="0"/>
    <n v="58"/>
    <n v="1"/>
    <n v="1"/>
    <n v="1"/>
    <n v="0"/>
    <n v="601"/>
    <n v="7"/>
    <x v="2"/>
    <n v="1"/>
    <n v="3"/>
    <n v="53"/>
    <n v="2"/>
    <n v="3"/>
    <n v="3"/>
    <n v="10008"/>
    <n v="12023"/>
    <n v="7"/>
    <n v="14"/>
    <n v="3"/>
    <n v="4"/>
    <n v="80"/>
    <n v="0"/>
    <n v="31"/>
    <n v="2"/>
    <n v="10"/>
    <n v="9"/>
    <n v="5"/>
    <n v="9"/>
  </r>
  <r>
    <s v="No"/>
    <s v="Travel_Rarely"/>
    <x v="0"/>
    <s v="Current Employees"/>
    <x v="1"/>
    <x v="0"/>
    <x v="967"/>
    <x v="967"/>
    <x v="1"/>
    <x v="2"/>
    <x v="1"/>
    <s v="No"/>
    <s v="Y"/>
    <n v="3"/>
    <n v="-2"/>
    <n v="0"/>
    <n v="40"/>
    <n v="0"/>
    <m/>
    <n v="0"/>
    <n v="1"/>
    <n v="329"/>
    <n v="1"/>
    <x v="2"/>
    <n v="1"/>
    <n v="2"/>
    <n v="88"/>
    <n v="3"/>
    <n v="1"/>
    <n v="2"/>
    <n v="2387"/>
    <n v="6762"/>
    <n v="3"/>
    <n v="22"/>
    <n v="4"/>
    <n v="3"/>
    <n v="80"/>
    <n v="1"/>
    <n v="7"/>
    <n v="3"/>
    <n v="4"/>
    <n v="2"/>
    <n v="0"/>
    <n v="3"/>
  </r>
  <r>
    <s v="No"/>
    <s v="Travel_Frequently"/>
    <x v="0"/>
    <s v="Current Employees"/>
    <x v="0"/>
    <x v="3"/>
    <x v="968"/>
    <x v="968"/>
    <x v="0"/>
    <x v="0"/>
    <x v="1"/>
    <s v="No"/>
    <s v="Y"/>
    <n v="2"/>
    <n v="-2"/>
    <n v="0"/>
    <n v="36"/>
    <n v="0"/>
    <m/>
    <n v="0"/>
    <n v="1"/>
    <n v="607"/>
    <n v="7"/>
    <x v="3"/>
    <n v="1"/>
    <n v="1"/>
    <n v="83"/>
    <n v="4"/>
    <n v="2"/>
    <n v="2"/>
    <n v="4639"/>
    <n v="2261"/>
    <n v="2"/>
    <n v="16"/>
    <n v="3"/>
    <n v="4"/>
    <n v="80"/>
    <n v="1"/>
    <n v="17"/>
    <n v="2"/>
    <n v="15"/>
    <n v="7"/>
    <n v="6"/>
    <n v="13"/>
  </r>
  <r>
    <s v="No"/>
    <s v="Travel_Rarely"/>
    <x v="1"/>
    <s v="Current Employees"/>
    <x v="1"/>
    <x v="0"/>
    <x v="969"/>
    <x v="969"/>
    <x v="1"/>
    <x v="3"/>
    <x v="0"/>
    <s v="No"/>
    <s v="Y"/>
    <n v="2"/>
    <n v="-2"/>
    <n v="0"/>
    <n v="48"/>
    <n v="0"/>
    <m/>
    <n v="0"/>
    <n v="1"/>
    <n v="855"/>
    <n v="4"/>
    <x v="3"/>
    <n v="1"/>
    <n v="4"/>
    <n v="54"/>
    <n v="3"/>
    <n v="3"/>
    <n v="4"/>
    <n v="7898"/>
    <n v="18706"/>
    <n v="1"/>
    <n v="11"/>
    <n v="3"/>
    <n v="3"/>
    <n v="80"/>
    <n v="0"/>
    <n v="11"/>
    <n v="3"/>
    <n v="10"/>
    <n v="9"/>
    <n v="0"/>
    <n v="8"/>
  </r>
  <r>
    <s v="No"/>
    <s v="Travel_Rarely"/>
    <x v="2"/>
    <s v="Current Employees"/>
    <x v="0"/>
    <x v="2"/>
    <x v="970"/>
    <x v="970"/>
    <x v="0"/>
    <x v="6"/>
    <x v="1"/>
    <s v="No"/>
    <s v="Y"/>
    <n v="4"/>
    <n v="-2"/>
    <n v="0"/>
    <n v="27"/>
    <n v="0"/>
    <m/>
    <n v="0"/>
    <n v="1"/>
    <n v="1291"/>
    <n v="11"/>
    <x v="3"/>
    <n v="1"/>
    <n v="3"/>
    <n v="98"/>
    <n v="4"/>
    <n v="1"/>
    <n v="4"/>
    <n v="2534"/>
    <n v="6527"/>
    <n v="8"/>
    <n v="14"/>
    <n v="3"/>
    <n v="2"/>
    <n v="80"/>
    <n v="1"/>
    <n v="5"/>
    <n v="3"/>
    <n v="1"/>
    <n v="0"/>
    <n v="0"/>
    <n v="0"/>
  </r>
  <r>
    <s v="No"/>
    <s v="Travel_Rarely"/>
    <x v="1"/>
    <s v="Current Employees"/>
    <x v="1"/>
    <x v="4"/>
    <x v="971"/>
    <x v="971"/>
    <x v="0"/>
    <x v="3"/>
    <x v="0"/>
    <s v="No"/>
    <s v="Y"/>
    <n v="1"/>
    <n v="-2"/>
    <n v="0"/>
    <n v="51"/>
    <n v="0"/>
    <m/>
    <n v="0"/>
    <n v="1"/>
    <n v="1405"/>
    <n v="11"/>
    <x v="0"/>
    <n v="1"/>
    <n v="4"/>
    <n v="82"/>
    <n v="2"/>
    <n v="4"/>
    <n v="4"/>
    <n v="13142"/>
    <n v="24439"/>
    <n v="3"/>
    <n v="16"/>
    <n v="3"/>
    <n v="2"/>
    <n v="80"/>
    <n v="0"/>
    <n v="29"/>
    <n v="2"/>
    <n v="5"/>
    <n v="2"/>
    <n v="0"/>
    <n v="3"/>
  </r>
  <r>
    <s v="No"/>
    <s v="Non-Travel"/>
    <x v="4"/>
    <s v="Current Employees"/>
    <x v="1"/>
    <x v="0"/>
    <x v="972"/>
    <x v="972"/>
    <x v="0"/>
    <x v="2"/>
    <x v="0"/>
    <s v="No"/>
    <s v="Y"/>
    <n v="5"/>
    <n v="-2"/>
    <n v="0"/>
    <n v="18"/>
    <n v="0"/>
    <m/>
    <n v="0"/>
    <n v="1"/>
    <n v="1124"/>
    <n v="1"/>
    <x v="3"/>
    <n v="1"/>
    <n v="4"/>
    <n v="97"/>
    <n v="3"/>
    <n v="1"/>
    <n v="4"/>
    <n v="1611"/>
    <n v="19305"/>
    <n v="1"/>
    <n v="15"/>
    <n v="3"/>
    <n v="3"/>
    <n v="80"/>
    <n v="0"/>
    <n v="0"/>
    <n v="4"/>
    <n v="0"/>
    <n v="0"/>
    <n v="0"/>
    <n v="0"/>
  </r>
  <r>
    <s v="No"/>
    <s v="Travel_Rarely"/>
    <x v="0"/>
    <s v="Current Employees"/>
    <x v="1"/>
    <x v="2"/>
    <x v="973"/>
    <x v="973"/>
    <x v="0"/>
    <x v="2"/>
    <x v="1"/>
    <s v="No"/>
    <s v="Y"/>
    <n v="0"/>
    <n v="-2"/>
    <n v="0"/>
    <n v="35"/>
    <n v="0"/>
    <m/>
    <n v="0"/>
    <n v="1"/>
    <n v="817"/>
    <n v="1"/>
    <x v="3"/>
    <n v="1"/>
    <n v="4"/>
    <n v="60"/>
    <n v="2"/>
    <n v="2"/>
    <n v="4"/>
    <n v="5363"/>
    <n v="10846"/>
    <n v="0"/>
    <n v="12"/>
    <n v="3"/>
    <n v="2"/>
    <n v="80"/>
    <n v="1"/>
    <n v="10"/>
    <n v="3"/>
    <n v="9"/>
    <n v="7"/>
    <n v="0"/>
    <n v="0"/>
  </r>
  <r>
    <s v="No"/>
    <s v="Travel_Frequently"/>
    <x v="2"/>
    <s v="Current Employees"/>
    <x v="0"/>
    <x v="0"/>
    <x v="974"/>
    <x v="974"/>
    <x v="1"/>
    <x v="0"/>
    <x v="0"/>
    <s v="No"/>
    <s v="Y"/>
    <n v="3"/>
    <n v="-2"/>
    <n v="0"/>
    <n v="27"/>
    <n v="0"/>
    <m/>
    <n v="0"/>
    <n v="1"/>
    <n v="793"/>
    <n v="2"/>
    <x v="1"/>
    <n v="1"/>
    <n v="4"/>
    <n v="43"/>
    <n v="1"/>
    <n v="2"/>
    <n v="4"/>
    <n v="5071"/>
    <n v="20392"/>
    <n v="3"/>
    <n v="20"/>
    <n v="4"/>
    <n v="2"/>
    <n v="80"/>
    <n v="0"/>
    <n v="8"/>
    <n v="3"/>
    <n v="6"/>
    <n v="2"/>
    <n v="0"/>
    <n v="0"/>
  </r>
  <r>
    <s v="Yes"/>
    <s v="Travel_Rarely"/>
    <x v="3"/>
    <s v="Ex-Employees"/>
    <x v="0"/>
    <x v="3"/>
    <x v="975"/>
    <x v="975"/>
    <x v="1"/>
    <x v="0"/>
    <x v="0"/>
    <s v="Yes"/>
    <s v="Y"/>
    <n v="2"/>
    <n v="-2"/>
    <n v="0"/>
    <n v="55"/>
    <n v="1"/>
    <n v="1"/>
    <n v="1"/>
    <n v="0"/>
    <n v="267"/>
    <n v="13"/>
    <x v="2"/>
    <n v="1"/>
    <n v="1"/>
    <n v="85"/>
    <n v="4"/>
    <n v="4"/>
    <n v="2"/>
    <n v="13695"/>
    <n v="9277"/>
    <n v="6"/>
    <n v="17"/>
    <n v="3"/>
    <n v="3"/>
    <n v="80"/>
    <n v="0"/>
    <n v="24"/>
    <n v="2"/>
    <n v="19"/>
    <n v="7"/>
    <n v="3"/>
    <n v="8"/>
  </r>
  <r>
    <s v="No"/>
    <s v="Travel_Rarely"/>
    <x v="3"/>
    <s v="Current Employees"/>
    <x v="1"/>
    <x v="0"/>
    <x v="976"/>
    <x v="976"/>
    <x v="1"/>
    <x v="3"/>
    <x v="1"/>
    <s v="Yes"/>
    <s v="Y"/>
    <n v="0"/>
    <n v="-2"/>
    <n v="0"/>
    <n v="56"/>
    <n v="0"/>
    <m/>
    <n v="0"/>
    <n v="1"/>
    <n v="1369"/>
    <n v="23"/>
    <x v="3"/>
    <n v="1"/>
    <n v="4"/>
    <n v="68"/>
    <n v="3"/>
    <n v="4"/>
    <n v="2"/>
    <n v="13402"/>
    <n v="18235"/>
    <n v="4"/>
    <n v="12"/>
    <n v="3"/>
    <n v="1"/>
    <n v="80"/>
    <n v="1"/>
    <n v="33"/>
    <n v="3"/>
    <n v="19"/>
    <n v="16"/>
    <n v="15"/>
    <n v="9"/>
  </r>
  <r>
    <s v="No"/>
    <s v="Non-Travel"/>
    <x v="2"/>
    <s v="Current Employees"/>
    <x v="1"/>
    <x v="4"/>
    <x v="977"/>
    <x v="977"/>
    <x v="0"/>
    <x v="1"/>
    <x v="2"/>
    <s v="No"/>
    <s v="Y"/>
    <n v="2"/>
    <n v="-2"/>
    <n v="0"/>
    <n v="34"/>
    <n v="0"/>
    <m/>
    <n v="0"/>
    <n v="1"/>
    <n v="999"/>
    <n v="26"/>
    <x v="1"/>
    <n v="1"/>
    <n v="4"/>
    <n v="92"/>
    <n v="2"/>
    <n v="1"/>
    <n v="4"/>
    <n v="2029"/>
    <n v="15891"/>
    <n v="1"/>
    <n v="20"/>
    <n v="4"/>
    <n v="3"/>
    <n v="80"/>
    <n v="3"/>
    <n v="5"/>
    <n v="3"/>
    <n v="5"/>
    <n v="4"/>
    <n v="0"/>
    <n v="0"/>
  </r>
  <r>
    <s v="No"/>
    <s v="Travel_Rarely"/>
    <x v="0"/>
    <s v="Current Employees"/>
    <x v="1"/>
    <x v="2"/>
    <x v="978"/>
    <x v="978"/>
    <x v="0"/>
    <x v="4"/>
    <x v="2"/>
    <s v="No"/>
    <s v="Y"/>
    <n v="0"/>
    <n v="-2"/>
    <n v="0"/>
    <n v="40"/>
    <n v="0"/>
    <m/>
    <n v="0"/>
    <n v="1"/>
    <n v="1202"/>
    <n v="2"/>
    <x v="1"/>
    <n v="1"/>
    <n v="2"/>
    <n v="89"/>
    <n v="4"/>
    <n v="2"/>
    <n v="3"/>
    <n v="6377"/>
    <n v="13888"/>
    <n v="5"/>
    <n v="20"/>
    <n v="4"/>
    <n v="2"/>
    <n v="80"/>
    <n v="3"/>
    <n v="15"/>
    <n v="3"/>
    <n v="12"/>
    <n v="11"/>
    <n v="11"/>
    <n v="8"/>
  </r>
  <r>
    <s v="No"/>
    <s v="Travel_Rarely"/>
    <x v="2"/>
    <s v="Current Employees"/>
    <x v="1"/>
    <x v="2"/>
    <x v="979"/>
    <x v="979"/>
    <x v="1"/>
    <x v="2"/>
    <x v="1"/>
    <s v="No"/>
    <s v="Y"/>
    <n v="1"/>
    <n v="-2"/>
    <n v="0"/>
    <n v="34"/>
    <n v="0"/>
    <m/>
    <n v="0"/>
    <n v="1"/>
    <n v="285"/>
    <n v="29"/>
    <x v="3"/>
    <n v="1"/>
    <n v="2"/>
    <n v="86"/>
    <n v="3"/>
    <n v="2"/>
    <n v="3"/>
    <n v="5429"/>
    <n v="17491"/>
    <n v="4"/>
    <n v="13"/>
    <n v="3"/>
    <n v="1"/>
    <n v="80"/>
    <n v="2"/>
    <n v="10"/>
    <n v="3"/>
    <n v="8"/>
    <n v="7"/>
    <n v="7"/>
    <n v="7"/>
  </r>
  <r>
    <s v="Yes"/>
    <s v="Travel_Frequently"/>
    <x v="2"/>
    <s v="Ex-Employees"/>
    <x v="0"/>
    <x v="0"/>
    <x v="980"/>
    <x v="980"/>
    <x v="0"/>
    <x v="6"/>
    <x v="0"/>
    <s v="No"/>
    <s v="Y"/>
    <n v="3"/>
    <n v="-2"/>
    <n v="0"/>
    <n v="31"/>
    <n v="1"/>
    <n v="1"/>
    <n v="1"/>
    <n v="0"/>
    <n v="703"/>
    <n v="2"/>
    <x v="3"/>
    <n v="1"/>
    <n v="3"/>
    <n v="90"/>
    <n v="2"/>
    <n v="1"/>
    <n v="4"/>
    <n v="2785"/>
    <n v="11882"/>
    <n v="7"/>
    <n v="14"/>
    <n v="3"/>
    <n v="3"/>
    <n v="80"/>
    <n v="0"/>
    <n v="3"/>
    <n v="4"/>
    <n v="1"/>
    <n v="0"/>
    <n v="0"/>
    <n v="0"/>
  </r>
  <r>
    <s v="Yes"/>
    <s v="Travel_Frequently"/>
    <x v="0"/>
    <s v="Ex-Employees"/>
    <x v="0"/>
    <x v="3"/>
    <x v="981"/>
    <x v="981"/>
    <x v="0"/>
    <x v="0"/>
    <x v="1"/>
    <s v="Yes"/>
    <s v="Y"/>
    <n v="0"/>
    <n v="-2"/>
    <n v="0"/>
    <n v="35"/>
    <n v="1"/>
    <n v="1"/>
    <n v="1"/>
    <n v="0"/>
    <n v="662"/>
    <n v="18"/>
    <x v="2"/>
    <n v="1"/>
    <n v="4"/>
    <n v="67"/>
    <n v="3"/>
    <n v="2"/>
    <n v="2"/>
    <n v="4614"/>
    <n v="23288"/>
    <n v="0"/>
    <n v="18"/>
    <n v="3"/>
    <n v="3"/>
    <n v="80"/>
    <n v="1"/>
    <n v="5"/>
    <n v="2"/>
    <n v="4"/>
    <n v="2"/>
    <n v="3"/>
    <n v="2"/>
  </r>
  <r>
    <s v="No"/>
    <s v="Travel_Frequently"/>
    <x v="0"/>
    <s v="Current Employees"/>
    <x v="1"/>
    <x v="0"/>
    <x v="982"/>
    <x v="982"/>
    <x v="1"/>
    <x v="1"/>
    <x v="2"/>
    <s v="No"/>
    <s v="Y"/>
    <n v="2"/>
    <n v="-2"/>
    <n v="0"/>
    <n v="38"/>
    <n v="0"/>
    <m/>
    <n v="0"/>
    <n v="1"/>
    <n v="693"/>
    <n v="7"/>
    <x v="3"/>
    <n v="1"/>
    <n v="4"/>
    <n v="57"/>
    <n v="4"/>
    <n v="1"/>
    <n v="3"/>
    <n v="2610"/>
    <n v="15748"/>
    <n v="1"/>
    <n v="11"/>
    <n v="3"/>
    <n v="4"/>
    <n v="80"/>
    <n v="3"/>
    <n v="4"/>
    <n v="3"/>
    <n v="4"/>
    <n v="2"/>
    <n v="0"/>
    <n v="3"/>
  </r>
  <r>
    <s v="No"/>
    <s v="Travel_Rarely"/>
    <x v="2"/>
    <s v="Current Employees"/>
    <x v="1"/>
    <x v="4"/>
    <x v="983"/>
    <x v="983"/>
    <x v="0"/>
    <x v="4"/>
    <x v="0"/>
    <s v="No"/>
    <s v="Y"/>
    <n v="2"/>
    <n v="-2"/>
    <n v="0"/>
    <n v="34"/>
    <n v="0"/>
    <m/>
    <n v="0"/>
    <n v="1"/>
    <n v="404"/>
    <n v="2"/>
    <x v="2"/>
    <n v="1"/>
    <n v="4"/>
    <n v="98"/>
    <n v="3"/>
    <n v="2"/>
    <n v="4"/>
    <n v="6687"/>
    <n v="6163"/>
    <n v="1"/>
    <n v="11"/>
    <n v="3"/>
    <n v="4"/>
    <n v="80"/>
    <n v="0"/>
    <n v="14"/>
    <n v="4"/>
    <n v="14"/>
    <n v="11"/>
    <n v="4"/>
    <n v="11"/>
  </r>
  <r>
    <s v="No"/>
    <s v="Travel_Rarely"/>
    <x v="2"/>
    <s v="Current Employees"/>
    <x v="0"/>
    <x v="0"/>
    <x v="984"/>
    <x v="984"/>
    <x v="1"/>
    <x v="0"/>
    <x v="1"/>
    <s v="No"/>
    <s v="Y"/>
    <n v="0"/>
    <n v="-2"/>
    <n v="0"/>
    <n v="28"/>
    <n v="0"/>
    <m/>
    <n v="0"/>
    <n v="1"/>
    <n v="736"/>
    <n v="26"/>
    <x v="3"/>
    <n v="1"/>
    <n v="3"/>
    <n v="48"/>
    <n v="2"/>
    <n v="2"/>
    <n v="3"/>
    <n v="4724"/>
    <n v="24232"/>
    <n v="1"/>
    <n v="11"/>
    <n v="3"/>
    <n v="3"/>
    <n v="80"/>
    <n v="1"/>
    <n v="5"/>
    <n v="3"/>
    <n v="5"/>
    <n v="3"/>
    <n v="0"/>
    <n v="4"/>
  </r>
  <r>
    <s v="Yes"/>
    <s v="Travel_Rarely"/>
    <x v="2"/>
    <s v="Ex-Employees"/>
    <x v="1"/>
    <x v="2"/>
    <x v="985"/>
    <x v="985"/>
    <x v="1"/>
    <x v="3"/>
    <x v="1"/>
    <s v="Yes"/>
    <s v="Y"/>
    <n v="3"/>
    <n v="-2"/>
    <n v="0"/>
    <n v="31"/>
    <n v="1"/>
    <n v="1"/>
    <n v="1"/>
    <n v="0"/>
    <n v="330"/>
    <n v="22"/>
    <x v="2"/>
    <n v="1"/>
    <n v="4"/>
    <n v="98"/>
    <n v="3"/>
    <n v="2"/>
    <n v="3"/>
    <n v="6179"/>
    <n v="21057"/>
    <n v="1"/>
    <n v="15"/>
    <n v="3"/>
    <n v="4"/>
    <n v="80"/>
    <n v="2"/>
    <n v="10"/>
    <n v="2"/>
    <n v="10"/>
    <n v="2"/>
    <n v="6"/>
    <n v="7"/>
  </r>
  <r>
    <s v="No"/>
    <s v="Travel_Rarely"/>
    <x v="0"/>
    <s v="Current Employees"/>
    <x v="0"/>
    <x v="0"/>
    <x v="986"/>
    <x v="986"/>
    <x v="1"/>
    <x v="0"/>
    <x v="1"/>
    <s v="Yes"/>
    <s v="Y"/>
    <n v="2"/>
    <n v="-2"/>
    <n v="0"/>
    <n v="39"/>
    <n v="0"/>
    <m/>
    <n v="0"/>
    <n v="1"/>
    <n v="1498"/>
    <n v="21"/>
    <x v="2"/>
    <n v="1"/>
    <n v="1"/>
    <n v="44"/>
    <n v="2"/>
    <n v="2"/>
    <n v="4"/>
    <n v="6120"/>
    <n v="3567"/>
    <n v="3"/>
    <n v="12"/>
    <n v="3"/>
    <n v="4"/>
    <n v="80"/>
    <n v="2"/>
    <n v="8"/>
    <n v="4"/>
    <n v="5"/>
    <n v="4"/>
    <n v="1"/>
    <n v="4"/>
  </r>
  <r>
    <s v="No"/>
    <s v="Travel_Frequently"/>
    <x v="1"/>
    <s v="Current Employees"/>
    <x v="0"/>
    <x v="3"/>
    <x v="987"/>
    <x v="987"/>
    <x v="1"/>
    <x v="0"/>
    <x v="1"/>
    <s v="No"/>
    <s v="Y"/>
    <n v="5"/>
    <n v="-2"/>
    <n v="0"/>
    <n v="51"/>
    <n v="0"/>
    <m/>
    <n v="0"/>
    <n v="1"/>
    <n v="541"/>
    <n v="2"/>
    <x v="3"/>
    <n v="1"/>
    <n v="2"/>
    <n v="52"/>
    <n v="3"/>
    <n v="3"/>
    <n v="2"/>
    <n v="10596"/>
    <n v="15395"/>
    <n v="2"/>
    <n v="11"/>
    <n v="3"/>
    <n v="2"/>
    <n v="80"/>
    <n v="0"/>
    <n v="14"/>
    <n v="3"/>
    <n v="4"/>
    <n v="2"/>
    <n v="3"/>
    <n v="2"/>
  </r>
  <r>
    <s v="No"/>
    <s v="Travel_Frequently"/>
    <x v="0"/>
    <s v="Current Employees"/>
    <x v="1"/>
    <x v="0"/>
    <x v="988"/>
    <x v="988"/>
    <x v="0"/>
    <x v="1"/>
    <x v="2"/>
    <s v="Yes"/>
    <s v="Y"/>
    <n v="4"/>
    <n v="-2"/>
    <n v="0"/>
    <n v="41"/>
    <n v="0"/>
    <m/>
    <n v="0"/>
    <n v="1"/>
    <n v="1200"/>
    <n v="22"/>
    <x v="3"/>
    <n v="1"/>
    <n v="4"/>
    <n v="75"/>
    <n v="3"/>
    <n v="2"/>
    <n v="4"/>
    <n v="5467"/>
    <n v="13953"/>
    <n v="3"/>
    <n v="14"/>
    <n v="3"/>
    <n v="1"/>
    <n v="80"/>
    <n v="2"/>
    <n v="12"/>
    <n v="2"/>
    <n v="6"/>
    <n v="2"/>
    <n v="3"/>
    <n v="3"/>
  </r>
  <r>
    <s v="No"/>
    <s v="Travel_Rarely"/>
    <x v="0"/>
    <s v="Current Employees"/>
    <x v="1"/>
    <x v="0"/>
    <x v="989"/>
    <x v="989"/>
    <x v="1"/>
    <x v="1"/>
    <x v="1"/>
    <s v="Yes"/>
    <s v="Y"/>
    <n v="2"/>
    <n v="-2"/>
    <n v="0"/>
    <n v="37"/>
    <n v="0"/>
    <m/>
    <n v="0"/>
    <n v="1"/>
    <n v="1439"/>
    <n v="4"/>
    <x v="1"/>
    <n v="1"/>
    <n v="3"/>
    <n v="54"/>
    <n v="3"/>
    <n v="1"/>
    <n v="3"/>
    <n v="2996"/>
    <n v="5182"/>
    <n v="7"/>
    <n v="15"/>
    <n v="3"/>
    <n v="4"/>
    <n v="80"/>
    <n v="0"/>
    <n v="8"/>
    <n v="3"/>
    <n v="6"/>
    <n v="4"/>
    <n v="1"/>
    <n v="3"/>
  </r>
  <r>
    <s v="No"/>
    <s v="Travel_Frequently"/>
    <x v="2"/>
    <s v="Current Employees"/>
    <x v="0"/>
    <x v="0"/>
    <x v="990"/>
    <x v="990"/>
    <x v="1"/>
    <x v="0"/>
    <x v="1"/>
    <s v="No"/>
    <s v="Y"/>
    <n v="2"/>
    <n v="-2"/>
    <n v="0"/>
    <n v="33"/>
    <n v="0"/>
    <m/>
    <n v="0"/>
    <n v="1"/>
    <n v="1111"/>
    <n v="5"/>
    <x v="1"/>
    <n v="1"/>
    <n v="2"/>
    <n v="61"/>
    <n v="3"/>
    <n v="2"/>
    <n v="4"/>
    <n v="9998"/>
    <n v="19293"/>
    <n v="6"/>
    <n v="13"/>
    <n v="3"/>
    <n v="1"/>
    <n v="80"/>
    <n v="0"/>
    <n v="8"/>
    <n v="4"/>
    <n v="5"/>
    <n v="4"/>
    <n v="1"/>
    <n v="2"/>
  </r>
  <r>
    <s v="No"/>
    <s v="Travel_Rarely"/>
    <x v="2"/>
    <s v="Current Employees"/>
    <x v="0"/>
    <x v="3"/>
    <x v="991"/>
    <x v="991"/>
    <x v="1"/>
    <x v="0"/>
    <x v="1"/>
    <s v="Yes"/>
    <s v="Y"/>
    <n v="3"/>
    <n v="-2"/>
    <n v="0"/>
    <n v="32"/>
    <n v="0"/>
    <m/>
    <n v="0"/>
    <n v="1"/>
    <n v="499"/>
    <n v="2"/>
    <x v="1"/>
    <n v="1"/>
    <n v="3"/>
    <n v="36"/>
    <n v="3"/>
    <n v="2"/>
    <n v="2"/>
    <n v="4078"/>
    <n v="20497"/>
    <n v="0"/>
    <n v="13"/>
    <n v="3"/>
    <n v="1"/>
    <n v="80"/>
    <n v="3"/>
    <n v="4"/>
    <n v="2"/>
    <n v="3"/>
    <n v="2"/>
    <n v="1"/>
    <n v="2"/>
  </r>
  <r>
    <s v="No"/>
    <s v="Non-Travel"/>
    <x v="0"/>
    <s v="Current Employees"/>
    <x v="1"/>
    <x v="0"/>
    <x v="992"/>
    <x v="992"/>
    <x v="1"/>
    <x v="4"/>
    <x v="1"/>
    <s v="No"/>
    <s v="Y"/>
    <n v="2"/>
    <n v="-2"/>
    <n v="0"/>
    <n v="39"/>
    <n v="0"/>
    <m/>
    <n v="0"/>
    <n v="1"/>
    <n v="1485"/>
    <n v="25"/>
    <x v="0"/>
    <n v="1"/>
    <n v="3"/>
    <n v="71"/>
    <n v="3"/>
    <n v="3"/>
    <n v="3"/>
    <n v="10920"/>
    <n v="3449"/>
    <n v="3"/>
    <n v="21"/>
    <n v="4"/>
    <n v="2"/>
    <n v="80"/>
    <n v="1"/>
    <n v="13"/>
    <n v="3"/>
    <n v="6"/>
    <n v="4"/>
    <n v="0"/>
    <n v="5"/>
  </r>
  <r>
    <s v="No"/>
    <s v="Travel_Rarely"/>
    <x v="2"/>
    <s v="Current Employees"/>
    <x v="0"/>
    <x v="0"/>
    <x v="993"/>
    <x v="993"/>
    <x v="1"/>
    <x v="0"/>
    <x v="1"/>
    <s v="No"/>
    <s v="Y"/>
    <n v="3"/>
    <n v="-2"/>
    <n v="0"/>
    <n v="25"/>
    <n v="0"/>
    <m/>
    <n v="0"/>
    <n v="1"/>
    <n v="1372"/>
    <n v="18"/>
    <x v="1"/>
    <n v="1"/>
    <n v="1"/>
    <n v="93"/>
    <n v="4"/>
    <n v="2"/>
    <n v="3"/>
    <n v="6232"/>
    <n v="12477"/>
    <n v="2"/>
    <n v="11"/>
    <n v="3"/>
    <n v="2"/>
    <n v="80"/>
    <n v="0"/>
    <n v="6"/>
    <n v="2"/>
    <n v="3"/>
    <n v="2"/>
    <n v="1"/>
    <n v="2"/>
  </r>
  <r>
    <s v="No"/>
    <s v="Travel_Frequently"/>
    <x v="1"/>
    <s v="Current Employees"/>
    <x v="1"/>
    <x v="2"/>
    <x v="994"/>
    <x v="994"/>
    <x v="0"/>
    <x v="3"/>
    <x v="1"/>
    <s v="Yes"/>
    <s v="Y"/>
    <n v="3"/>
    <n v="-2"/>
    <n v="0"/>
    <n v="52"/>
    <n v="0"/>
    <m/>
    <n v="0"/>
    <n v="1"/>
    <n v="322"/>
    <n v="28"/>
    <x v="0"/>
    <n v="1"/>
    <n v="4"/>
    <n v="59"/>
    <n v="4"/>
    <n v="4"/>
    <n v="3"/>
    <n v="13247"/>
    <n v="9731"/>
    <n v="2"/>
    <n v="11"/>
    <n v="3"/>
    <n v="2"/>
    <n v="80"/>
    <n v="1"/>
    <n v="24"/>
    <n v="2"/>
    <n v="5"/>
    <n v="3"/>
    <n v="0"/>
    <n v="2"/>
  </r>
  <r>
    <s v="No"/>
    <s v="Travel_Rarely"/>
    <x v="0"/>
    <s v="Current Employees"/>
    <x v="1"/>
    <x v="2"/>
    <x v="995"/>
    <x v="995"/>
    <x v="0"/>
    <x v="1"/>
    <x v="0"/>
    <s v="Yes"/>
    <s v="Y"/>
    <n v="3"/>
    <n v="-2"/>
    <n v="0"/>
    <n v="43"/>
    <n v="0"/>
    <m/>
    <n v="0"/>
    <n v="1"/>
    <n v="930"/>
    <n v="6"/>
    <x v="3"/>
    <n v="1"/>
    <n v="1"/>
    <n v="73"/>
    <n v="2"/>
    <n v="2"/>
    <n v="3"/>
    <n v="4081"/>
    <n v="20003"/>
    <n v="1"/>
    <n v="14"/>
    <n v="3"/>
    <n v="1"/>
    <n v="80"/>
    <n v="0"/>
    <n v="20"/>
    <n v="1"/>
    <n v="20"/>
    <n v="7"/>
    <n v="1"/>
    <n v="8"/>
  </r>
  <r>
    <s v="No"/>
    <s v="Travel_Rarely"/>
    <x v="2"/>
    <s v="Current Employees"/>
    <x v="0"/>
    <x v="3"/>
    <x v="996"/>
    <x v="996"/>
    <x v="0"/>
    <x v="0"/>
    <x v="1"/>
    <s v="Yes"/>
    <s v="Y"/>
    <n v="3"/>
    <n v="-2"/>
    <n v="0"/>
    <n v="27"/>
    <n v="0"/>
    <m/>
    <n v="0"/>
    <n v="1"/>
    <n v="205"/>
    <n v="10"/>
    <x v="3"/>
    <n v="1"/>
    <n v="4"/>
    <n v="98"/>
    <n v="2"/>
    <n v="2"/>
    <n v="2"/>
    <n v="5769"/>
    <n v="7100"/>
    <n v="1"/>
    <n v="11"/>
    <n v="3"/>
    <n v="4"/>
    <n v="80"/>
    <n v="0"/>
    <n v="6"/>
    <n v="3"/>
    <n v="6"/>
    <n v="2"/>
    <n v="4"/>
    <n v="4"/>
  </r>
  <r>
    <s v="Yes"/>
    <s v="Travel_Rarely"/>
    <x v="2"/>
    <s v="Ex-Employees"/>
    <x v="1"/>
    <x v="0"/>
    <x v="997"/>
    <x v="997"/>
    <x v="0"/>
    <x v="1"/>
    <x v="0"/>
    <s v="Yes"/>
    <s v="Y"/>
    <n v="2"/>
    <n v="-2"/>
    <n v="0"/>
    <n v="27"/>
    <n v="1"/>
    <n v="1"/>
    <n v="1"/>
    <n v="0"/>
    <n v="135"/>
    <n v="17"/>
    <x v="2"/>
    <n v="1"/>
    <n v="4"/>
    <n v="51"/>
    <n v="3"/>
    <n v="1"/>
    <n v="3"/>
    <n v="2394"/>
    <n v="25681"/>
    <n v="1"/>
    <n v="13"/>
    <n v="3"/>
    <n v="4"/>
    <n v="80"/>
    <n v="0"/>
    <n v="8"/>
    <n v="3"/>
    <n v="8"/>
    <n v="2"/>
    <n v="7"/>
    <n v="7"/>
  </r>
  <r>
    <s v="No"/>
    <s v="Travel_Rarely"/>
    <x v="2"/>
    <s v="Current Employees"/>
    <x v="1"/>
    <x v="2"/>
    <x v="998"/>
    <x v="998"/>
    <x v="1"/>
    <x v="1"/>
    <x v="0"/>
    <s v="No"/>
    <s v="Y"/>
    <n v="2"/>
    <n v="-2"/>
    <n v="0"/>
    <n v="26"/>
    <n v="0"/>
    <m/>
    <n v="0"/>
    <n v="1"/>
    <n v="683"/>
    <n v="2"/>
    <x v="1"/>
    <n v="1"/>
    <n v="1"/>
    <n v="36"/>
    <n v="2"/>
    <n v="1"/>
    <n v="4"/>
    <n v="3904"/>
    <n v="4050"/>
    <n v="0"/>
    <n v="12"/>
    <n v="3"/>
    <n v="4"/>
    <n v="80"/>
    <n v="0"/>
    <n v="5"/>
    <n v="3"/>
    <n v="4"/>
    <n v="3"/>
    <n v="1"/>
    <n v="1"/>
  </r>
  <r>
    <s v="No"/>
    <s v="Travel_Rarely"/>
    <x v="0"/>
    <s v="Current Employees"/>
    <x v="2"/>
    <x v="5"/>
    <x v="999"/>
    <x v="999"/>
    <x v="0"/>
    <x v="5"/>
    <x v="1"/>
    <s v="No"/>
    <s v="Y"/>
    <n v="5"/>
    <n v="-2"/>
    <n v="0"/>
    <n v="42"/>
    <n v="0"/>
    <m/>
    <n v="0"/>
    <n v="1"/>
    <n v="1147"/>
    <n v="10"/>
    <x v="3"/>
    <n v="1"/>
    <n v="3"/>
    <n v="31"/>
    <n v="3"/>
    <n v="4"/>
    <n v="3"/>
    <n v="16799"/>
    <n v="16616"/>
    <n v="0"/>
    <n v="14"/>
    <n v="3"/>
    <n v="3"/>
    <n v="80"/>
    <n v="1"/>
    <n v="21"/>
    <n v="3"/>
    <n v="20"/>
    <n v="7"/>
    <n v="0"/>
    <n v="9"/>
  </r>
  <r>
    <s v="No"/>
    <s v="Non-Travel"/>
    <x v="2"/>
    <s v="Current Employees"/>
    <x v="1"/>
    <x v="2"/>
    <x v="1000"/>
    <x v="1000"/>
    <x v="0"/>
    <x v="4"/>
    <x v="2"/>
    <s v="No"/>
    <s v="Y"/>
    <n v="6"/>
    <n v="-2"/>
    <n v="0"/>
    <n v="32"/>
    <n v="0"/>
    <m/>
    <n v="0"/>
    <n v="1"/>
    <n v="1146"/>
    <n v="15"/>
    <x v="2"/>
    <n v="1"/>
    <n v="3"/>
    <n v="34"/>
    <n v="3"/>
    <n v="2"/>
    <n v="4"/>
    <n v="6667"/>
    <n v="16542"/>
    <n v="5"/>
    <n v="18"/>
    <n v="3"/>
    <n v="2"/>
    <n v="80"/>
    <n v="1"/>
    <n v="9"/>
    <n v="3"/>
    <n v="5"/>
    <n v="1"/>
    <n v="1"/>
    <n v="2"/>
  </r>
  <r>
    <s v="No"/>
    <s v="Non-Travel"/>
    <x v="0"/>
    <s v="Current Employees"/>
    <x v="1"/>
    <x v="2"/>
    <x v="1001"/>
    <x v="1001"/>
    <x v="0"/>
    <x v="3"/>
    <x v="1"/>
    <s v="No"/>
    <s v="Y"/>
    <n v="6"/>
    <n v="-2"/>
    <n v="0"/>
    <n v="36"/>
    <n v="0"/>
    <m/>
    <n v="0"/>
    <n v="1"/>
    <n v="894"/>
    <n v="1"/>
    <x v="2"/>
    <n v="1"/>
    <n v="4"/>
    <n v="33"/>
    <n v="2"/>
    <n v="2"/>
    <n v="3"/>
    <n v="4374"/>
    <n v="15411"/>
    <n v="0"/>
    <n v="15"/>
    <n v="3"/>
    <n v="3"/>
    <n v="80"/>
    <n v="0"/>
    <n v="4"/>
    <n v="3"/>
    <n v="3"/>
    <n v="2"/>
    <n v="1"/>
    <n v="2"/>
  </r>
  <r>
    <s v="No"/>
    <s v="Non-Travel"/>
    <x v="0"/>
    <s v="Current Employees"/>
    <x v="1"/>
    <x v="0"/>
    <x v="1002"/>
    <x v="1002"/>
    <x v="0"/>
    <x v="4"/>
    <x v="1"/>
    <s v="No"/>
    <s v="Y"/>
    <n v="5"/>
    <n v="-2"/>
    <n v="0"/>
    <n v="35"/>
    <n v="0"/>
    <m/>
    <n v="0"/>
    <n v="1"/>
    <n v="208"/>
    <n v="8"/>
    <x v="2"/>
    <n v="1"/>
    <n v="3"/>
    <n v="52"/>
    <n v="3"/>
    <n v="2"/>
    <n v="3"/>
    <n v="4148"/>
    <n v="12250"/>
    <n v="1"/>
    <n v="12"/>
    <n v="3"/>
    <n v="4"/>
    <n v="80"/>
    <n v="1"/>
    <n v="15"/>
    <n v="3"/>
    <n v="14"/>
    <n v="11"/>
    <n v="2"/>
    <n v="9"/>
  </r>
  <r>
    <s v="No"/>
    <s v="Non-Travel"/>
    <x v="1"/>
    <s v="Current Employees"/>
    <x v="1"/>
    <x v="2"/>
    <x v="1003"/>
    <x v="1003"/>
    <x v="0"/>
    <x v="7"/>
    <x v="1"/>
    <s v="No"/>
    <s v="Y"/>
    <n v="3"/>
    <n v="-2"/>
    <n v="0"/>
    <n v="47"/>
    <n v="0"/>
    <m/>
    <n v="0"/>
    <n v="1"/>
    <n v="1162"/>
    <n v="1"/>
    <x v="1"/>
    <n v="1"/>
    <n v="3"/>
    <n v="98"/>
    <n v="3"/>
    <n v="3"/>
    <n v="2"/>
    <n v="11957"/>
    <n v="17231"/>
    <n v="0"/>
    <n v="18"/>
    <n v="3"/>
    <n v="1"/>
    <n v="80"/>
    <n v="2"/>
    <n v="14"/>
    <n v="1"/>
    <n v="13"/>
    <n v="8"/>
    <n v="5"/>
    <n v="12"/>
  </r>
  <r>
    <s v="No"/>
    <s v="Non-Travel"/>
    <x v="4"/>
    <s v="Current Employees"/>
    <x v="1"/>
    <x v="2"/>
    <x v="1004"/>
    <x v="1004"/>
    <x v="0"/>
    <x v="1"/>
    <x v="0"/>
    <s v="No"/>
    <s v="Y"/>
    <n v="4"/>
    <n v="-2"/>
    <n v="0"/>
    <n v="18"/>
    <n v="0"/>
    <m/>
    <n v="0"/>
    <n v="1"/>
    <n v="1431"/>
    <n v="14"/>
    <x v="3"/>
    <n v="1"/>
    <n v="2"/>
    <n v="33"/>
    <n v="3"/>
    <n v="1"/>
    <n v="3"/>
    <n v="1514"/>
    <n v="8018"/>
    <n v="1"/>
    <n v="16"/>
    <n v="3"/>
    <n v="3"/>
    <n v="80"/>
    <n v="0"/>
    <n v="0"/>
    <n v="1"/>
    <n v="0"/>
    <n v="0"/>
    <n v="0"/>
    <n v="0"/>
  </r>
  <r>
    <s v="No"/>
    <s v="Non-Travel"/>
    <x v="0"/>
    <s v="Current Employees"/>
    <x v="0"/>
    <x v="0"/>
    <x v="1005"/>
    <x v="1005"/>
    <x v="0"/>
    <x v="0"/>
    <x v="1"/>
    <s v="No"/>
    <s v="Y"/>
    <n v="1"/>
    <n v="-2"/>
    <n v="0"/>
    <n v="39"/>
    <n v="0"/>
    <m/>
    <n v="0"/>
    <n v="1"/>
    <n v="1251"/>
    <n v="21"/>
    <x v="2"/>
    <n v="1"/>
    <n v="1"/>
    <n v="32"/>
    <n v="1"/>
    <n v="2"/>
    <n v="3"/>
    <n v="5736"/>
    <n v="3987"/>
    <n v="6"/>
    <n v="19"/>
    <n v="3"/>
    <n v="3"/>
    <n v="80"/>
    <n v="1"/>
    <n v="10"/>
    <n v="3"/>
    <n v="3"/>
    <n v="2"/>
    <n v="1"/>
    <n v="2"/>
  </r>
  <r>
    <s v="No"/>
    <s v="Non-Travel"/>
    <x v="4"/>
    <s v="Current Employees"/>
    <x v="0"/>
    <x v="0"/>
    <x v="1006"/>
    <x v="1006"/>
    <x v="0"/>
    <x v="6"/>
    <x v="1"/>
    <s v="No"/>
    <s v="Y"/>
    <n v="2"/>
    <n v="-2"/>
    <n v="0"/>
    <n v="24"/>
    <n v="0"/>
    <m/>
    <n v="0"/>
    <n v="1"/>
    <n v="830"/>
    <n v="13"/>
    <x v="0"/>
    <n v="1"/>
    <n v="4"/>
    <n v="78"/>
    <n v="3"/>
    <n v="1"/>
    <n v="2"/>
    <n v="2033"/>
    <n v="7103"/>
    <n v="1"/>
    <n v="13"/>
    <n v="3"/>
    <n v="3"/>
    <n v="80"/>
    <n v="1"/>
    <n v="1"/>
    <n v="3"/>
    <n v="1"/>
    <n v="0"/>
    <n v="0"/>
    <n v="0"/>
  </r>
  <r>
    <s v="No"/>
    <s v="Non-Travel"/>
    <x v="2"/>
    <s v="Current Employees"/>
    <x v="0"/>
    <x v="3"/>
    <x v="1007"/>
    <x v="1007"/>
    <x v="0"/>
    <x v="0"/>
    <x v="0"/>
    <s v="No"/>
    <s v="Y"/>
    <n v="2"/>
    <n v="-2"/>
    <n v="0"/>
    <n v="33"/>
    <n v="0"/>
    <m/>
    <n v="0"/>
    <n v="1"/>
    <n v="1283"/>
    <n v="2"/>
    <x v="3"/>
    <n v="1"/>
    <n v="4"/>
    <n v="62"/>
    <n v="3"/>
    <n v="2"/>
    <n v="2"/>
    <n v="5147"/>
    <n v="10697"/>
    <n v="8"/>
    <n v="15"/>
    <n v="3"/>
    <n v="4"/>
    <n v="80"/>
    <n v="0"/>
    <n v="13"/>
    <n v="2"/>
    <n v="11"/>
    <n v="7"/>
    <n v="1"/>
    <n v="7"/>
  </r>
  <r>
    <s v="No"/>
    <s v="Travel_Frequently"/>
    <x v="1"/>
    <s v="Current Employees"/>
    <x v="1"/>
    <x v="2"/>
    <x v="1008"/>
    <x v="1008"/>
    <x v="0"/>
    <x v="5"/>
    <x v="2"/>
    <s v="No"/>
    <s v="Y"/>
    <n v="3"/>
    <n v="-2"/>
    <n v="0"/>
    <n v="48"/>
    <n v="0"/>
    <m/>
    <n v="0"/>
    <n v="1"/>
    <n v="117"/>
    <n v="22"/>
    <x v="3"/>
    <n v="1"/>
    <n v="4"/>
    <n v="58"/>
    <n v="3"/>
    <n v="4"/>
    <n v="4"/>
    <n v="17174"/>
    <n v="2437"/>
    <n v="3"/>
    <n v="11"/>
    <n v="3"/>
    <n v="2"/>
    <n v="80"/>
    <n v="1"/>
    <n v="24"/>
    <n v="3"/>
    <n v="22"/>
    <n v="17"/>
    <n v="4"/>
    <n v="7"/>
  </r>
  <r>
    <s v="No"/>
    <s v="Travel_Frequently"/>
    <x v="0"/>
    <s v="Current Employees"/>
    <x v="1"/>
    <x v="0"/>
    <x v="1009"/>
    <x v="1009"/>
    <x v="0"/>
    <x v="3"/>
    <x v="2"/>
    <s v="No"/>
    <s v="Y"/>
    <n v="3"/>
    <n v="-2"/>
    <n v="0"/>
    <n v="36"/>
    <n v="0"/>
    <m/>
    <n v="0"/>
    <n v="1"/>
    <n v="688"/>
    <n v="4"/>
    <x v="0"/>
    <n v="1"/>
    <n v="4"/>
    <n v="97"/>
    <n v="3"/>
    <n v="2"/>
    <n v="2"/>
    <n v="5131"/>
    <n v="9192"/>
    <n v="7"/>
    <n v="13"/>
    <n v="3"/>
    <n v="2"/>
    <n v="80"/>
    <n v="3"/>
    <n v="18"/>
    <n v="3"/>
    <n v="4"/>
    <n v="2"/>
    <n v="0"/>
    <n v="2"/>
  </r>
  <r>
    <s v="No"/>
    <s v="Travel_Frequently"/>
    <x v="0"/>
    <s v="Current Employees"/>
    <x v="1"/>
    <x v="2"/>
    <x v="1010"/>
    <x v="1010"/>
    <x v="0"/>
    <x v="2"/>
    <x v="1"/>
    <s v="No"/>
    <s v="Y"/>
    <n v="4"/>
    <n v="-2"/>
    <n v="0"/>
    <n v="38"/>
    <n v="0"/>
    <m/>
    <n v="0"/>
    <n v="1"/>
    <n v="594"/>
    <n v="2"/>
    <x v="0"/>
    <n v="1"/>
    <n v="3"/>
    <n v="75"/>
    <n v="2"/>
    <n v="1"/>
    <n v="2"/>
    <n v="2468"/>
    <n v="15963"/>
    <n v="4"/>
    <n v="14"/>
    <n v="3"/>
    <n v="2"/>
    <n v="80"/>
    <n v="1"/>
    <n v="9"/>
    <n v="2"/>
    <n v="6"/>
    <n v="1"/>
    <n v="0"/>
    <n v="5"/>
  </r>
  <r>
    <s v="No"/>
    <s v="Travel_Frequently"/>
    <x v="2"/>
    <s v="Current Employees"/>
    <x v="1"/>
    <x v="0"/>
    <x v="1011"/>
    <x v="1011"/>
    <x v="0"/>
    <x v="1"/>
    <x v="1"/>
    <s v="No"/>
    <s v="Y"/>
    <n v="2"/>
    <n v="-2"/>
    <n v="0"/>
    <n v="27"/>
    <n v="0"/>
    <m/>
    <n v="0"/>
    <n v="1"/>
    <n v="1131"/>
    <n v="15"/>
    <x v="3"/>
    <n v="1"/>
    <n v="4"/>
    <n v="77"/>
    <n v="2"/>
    <n v="1"/>
    <n v="3"/>
    <n v="4774"/>
    <n v="23844"/>
    <n v="0"/>
    <n v="19"/>
    <n v="3"/>
    <n v="4"/>
    <n v="80"/>
    <n v="1"/>
    <n v="8"/>
    <n v="2"/>
    <n v="7"/>
    <n v="6"/>
    <n v="7"/>
    <n v="3"/>
  </r>
  <r>
    <s v="No"/>
    <s v="Travel_Frequently"/>
    <x v="0"/>
    <s v="Current Employees"/>
    <x v="1"/>
    <x v="4"/>
    <x v="1012"/>
    <x v="1012"/>
    <x v="0"/>
    <x v="2"/>
    <x v="1"/>
    <s v="No"/>
    <s v="Y"/>
    <n v="2"/>
    <n v="-2"/>
    <n v="0"/>
    <n v="40"/>
    <n v="0"/>
    <m/>
    <n v="0"/>
    <n v="1"/>
    <n v="692"/>
    <n v="11"/>
    <x v="3"/>
    <n v="1"/>
    <n v="4"/>
    <n v="73"/>
    <n v="3"/>
    <n v="2"/>
    <n v="4"/>
    <n v="6323"/>
    <n v="26849"/>
    <n v="1"/>
    <n v="11"/>
    <n v="3"/>
    <n v="1"/>
    <n v="80"/>
    <n v="1"/>
    <n v="10"/>
    <n v="4"/>
    <n v="10"/>
    <n v="9"/>
    <n v="9"/>
    <n v="4"/>
  </r>
  <r>
    <s v="No"/>
    <s v="Travel_Frequently"/>
    <x v="2"/>
    <s v="Current Employees"/>
    <x v="1"/>
    <x v="0"/>
    <x v="1013"/>
    <x v="1013"/>
    <x v="0"/>
    <x v="2"/>
    <x v="1"/>
    <s v="No"/>
    <s v="Y"/>
    <n v="3"/>
    <n v="-2"/>
    <n v="0"/>
    <n v="29"/>
    <n v="0"/>
    <m/>
    <n v="0"/>
    <n v="1"/>
    <n v="410"/>
    <n v="2"/>
    <x v="1"/>
    <n v="1"/>
    <n v="4"/>
    <n v="97"/>
    <n v="3"/>
    <n v="1"/>
    <n v="2"/>
    <n v="3180"/>
    <n v="4668"/>
    <n v="0"/>
    <n v="13"/>
    <n v="3"/>
    <n v="3"/>
    <n v="80"/>
    <n v="3"/>
    <n v="4"/>
    <n v="3"/>
    <n v="3"/>
    <n v="2"/>
    <n v="0"/>
    <n v="2"/>
  </r>
  <r>
    <s v="No"/>
    <s v="Travel_Frequently"/>
    <x v="0"/>
    <s v="Current Employees"/>
    <x v="1"/>
    <x v="2"/>
    <x v="1014"/>
    <x v="1014"/>
    <x v="0"/>
    <x v="3"/>
    <x v="0"/>
    <s v="No"/>
    <s v="Y"/>
    <n v="2"/>
    <n v="-2"/>
    <n v="0"/>
    <n v="39"/>
    <n v="0"/>
    <m/>
    <n v="0"/>
    <n v="1"/>
    <n v="711"/>
    <n v="4"/>
    <x v="3"/>
    <n v="1"/>
    <n v="1"/>
    <n v="81"/>
    <n v="3"/>
    <n v="2"/>
    <n v="3"/>
    <n v="5042"/>
    <n v="3140"/>
    <n v="0"/>
    <n v="13"/>
    <n v="3"/>
    <n v="4"/>
    <n v="80"/>
    <n v="0"/>
    <n v="10"/>
    <n v="1"/>
    <n v="9"/>
    <n v="2"/>
    <n v="3"/>
    <n v="8"/>
  </r>
  <r>
    <s v="No"/>
    <s v="Travel_Frequently"/>
    <x v="0"/>
    <s v="Current Employees"/>
    <x v="1"/>
    <x v="2"/>
    <x v="1015"/>
    <x v="1015"/>
    <x v="0"/>
    <x v="2"/>
    <x v="0"/>
    <s v="No"/>
    <s v="Y"/>
    <n v="3"/>
    <n v="-2"/>
    <n v="0"/>
    <n v="42"/>
    <n v="0"/>
    <m/>
    <n v="0"/>
    <n v="1"/>
    <n v="748"/>
    <n v="9"/>
    <x v="0"/>
    <n v="1"/>
    <n v="1"/>
    <n v="74"/>
    <n v="3"/>
    <n v="1"/>
    <n v="4"/>
    <n v="3673"/>
    <n v="16458"/>
    <n v="1"/>
    <n v="13"/>
    <n v="3"/>
    <n v="3"/>
    <n v="80"/>
    <n v="0"/>
    <n v="12"/>
    <n v="3"/>
    <n v="12"/>
    <n v="9"/>
    <n v="5"/>
    <n v="8"/>
  </r>
  <r>
    <s v="No"/>
    <s v="Travel_Frequently"/>
    <x v="2"/>
    <s v="Current Employees"/>
    <x v="1"/>
    <x v="4"/>
    <x v="1016"/>
    <x v="1016"/>
    <x v="0"/>
    <x v="1"/>
    <x v="0"/>
    <s v="No"/>
    <s v="Y"/>
    <n v="2"/>
    <n v="-2"/>
    <n v="0"/>
    <n v="30"/>
    <n v="0"/>
    <m/>
    <n v="0"/>
    <n v="1"/>
    <n v="1312"/>
    <n v="2"/>
    <x v="2"/>
    <n v="1"/>
    <n v="4"/>
    <n v="78"/>
    <n v="2"/>
    <n v="1"/>
    <n v="4"/>
    <n v="4968"/>
    <n v="26427"/>
    <n v="0"/>
    <n v="16"/>
    <n v="3"/>
    <n v="4"/>
    <n v="80"/>
    <n v="0"/>
    <n v="10"/>
    <n v="3"/>
    <n v="9"/>
    <n v="7"/>
    <n v="0"/>
    <n v="7"/>
  </r>
  <r>
    <s v="No"/>
    <s v="Travel_Frequently"/>
    <x v="0"/>
    <s v="Current Employees"/>
    <x v="0"/>
    <x v="3"/>
    <x v="1017"/>
    <x v="1017"/>
    <x v="0"/>
    <x v="0"/>
    <x v="1"/>
    <s v="No"/>
    <s v="Y"/>
    <n v="4"/>
    <n v="-2"/>
    <n v="0"/>
    <n v="44"/>
    <n v="0"/>
    <m/>
    <n v="0"/>
    <n v="1"/>
    <n v="383"/>
    <n v="1"/>
    <x v="4"/>
    <n v="1"/>
    <n v="1"/>
    <n v="79"/>
    <n v="3"/>
    <n v="2"/>
    <n v="2"/>
    <n v="4768"/>
    <n v="9282"/>
    <n v="7"/>
    <n v="12"/>
    <n v="3"/>
    <n v="3"/>
    <n v="80"/>
    <n v="1"/>
    <n v="11"/>
    <n v="2"/>
    <n v="1"/>
    <n v="0"/>
    <n v="0"/>
    <n v="0"/>
  </r>
  <r>
    <s v="No"/>
    <s v="Travel_Frequently"/>
    <x v="2"/>
    <s v="Current Employees"/>
    <x v="0"/>
    <x v="3"/>
    <x v="1018"/>
    <x v="1018"/>
    <x v="0"/>
    <x v="0"/>
    <x v="1"/>
    <s v="No"/>
    <s v="Y"/>
    <n v="3"/>
    <n v="-2"/>
    <n v="0"/>
    <n v="31"/>
    <n v="0"/>
    <m/>
    <n v="0"/>
    <n v="1"/>
    <n v="1125"/>
    <n v="7"/>
    <x v="2"/>
    <n v="1"/>
    <n v="1"/>
    <n v="68"/>
    <n v="3"/>
    <n v="3"/>
    <n v="2"/>
    <n v="9637"/>
    <n v="8277"/>
    <n v="2"/>
    <n v="14"/>
    <n v="3"/>
    <n v="4"/>
    <n v="80"/>
    <n v="2"/>
    <n v="9"/>
    <n v="3"/>
    <n v="3"/>
    <n v="2"/>
    <n v="2"/>
    <n v="2"/>
  </r>
  <r>
    <s v="No"/>
    <s v="Travel_Rarely"/>
    <x v="2"/>
    <s v="Current Employees"/>
    <x v="2"/>
    <x v="5"/>
    <x v="1019"/>
    <x v="1019"/>
    <x v="0"/>
    <x v="8"/>
    <x v="1"/>
    <s v="No"/>
    <s v="Y"/>
    <n v="3"/>
    <n v="-2"/>
    <n v="0"/>
    <n v="25"/>
    <n v="0"/>
    <m/>
    <n v="0"/>
    <n v="1"/>
    <n v="309"/>
    <n v="2"/>
    <x v="3"/>
    <n v="1"/>
    <n v="3"/>
    <n v="82"/>
    <n v="3"/>
    <n v="1"/>
    <n v="2"/>
    <n v="2187"/>
    <n v="19655"/>
    <n v="4"/>
    <n v="14"/>
    <n v="3"/>
    <n v="3"/>
    <n v="80"/>
    <n v="0"/>
    <n v="6"/>
    <n v="3"/>
    <n v="2"/>
    <n v="0"/>
    <n v="1"/>
    <n v="2"/>
  </r>
  <r>
    <s v="No"/>
    <s v="Travel_Rarely"/>
    <x v="1"/>
    <s v="Current Employees"/>
    <x v="2"/>
    <x v="0"/>
    <x v="1020"/>
    <x v="1020"/>
    <x v="0"/>
    <x v="5"/>
    <x v="1"/>
    <s v="No"/>
    <s v="Y"/>
    <n v="2"/>
    <n v="-2"/>
    <n v="0"/>
    <n v="47"/>
    <n v="0"/>
    <m/>
    <n v="0"/>
    <n v="1"/>
    <n v="1176"/>
    <n v="26"/>
    <x v="2"/>
    <n v="1"/>
    <n v="4"/>
    <n v="98"/>
    <n v="3"/>
    <n v="5"/>
    <n v="3"/>
    <n v="19658"/>
    <n v="5220"/>
    <n v="3"/>
    <n v="11"/>
    <n v="3"/>
    <n v="3"/>
    <n v="80"/>
    <n v="1"/>
    <n v="27"/>
    <n v="3"/>
    <n v="5"/>
    <n v="2"/>
    <n v="1"/>
    <n v="0"/>
  </r>
  <r>
    <s v="No"/>
    <s v="Travel_Rarely"/>
    <x v="2"/>
    <s v="Current Employees"/>
    <x v="2"/>
    <x v="2"/>
    <x v="1021"/>
    <x v="1021"/>
    <x v="0"/>
    <x v="8"/>
    <x v="0"/>
    <s v="No"/>
    <s v="Y"/>
    <n v="3"/>
    <n v="-2"/>
    <n v="0"/>
    <n v="31"/>
    <n v="0"/>
    <m/>
    <n v="0"/>
    <n v="1"/>
    <n v="1398"/>
    <n v="8"/>
    <x v="0"/>
    <n v="1"/>
    <n v="4"/>
    <n v="96"/>
    <n v="4"/>
    <n v="1"/>
    <n v="2"/>
    <n v="2109"/>
    <n v="24609"/>
    <n v="9"/>
    <n v="18"/>
    <n v="3"/>
    <n v="4"/>
    <n v="80"/>
    <n v="0"/>
    <n v="8"/>
    <n v="3"/>
    <n v="3"/>
    <n v="2"/>
    <n v="0"/>
    <n v="2"/>
  </r>
  <r>
    <s v="No"/>
    <s v="Travel_Rarely"/>
    <x v="2"/>
    <s v="Current Employees"/>
    <x v="1"/>
    <x v="2"/>
    <x v="1022"/>
    <x v="1022"/>
    <x v="0"/>
    <x v="2"/>
    <x v="2"/>
    <s v="No"/>
    <s v="Y"/>
    <n v="0"/>
    <n v="-2"/>
    <n v="0"/>
    <n v="31"/>
    <n v="0"/>
    <m/>
    <n v="0"/>
    <n v="1"/>
    <n v="471"/>
    <n v="4"/>
    <x v="3"/>
    <n v="1"/>
    <n v="1"/>
    <n v="62"/>
    <n v="4"/>
    <n v="1"/>
    <n v="3"/>
    <n v="3978"/>
    <n v="16031"/>
    <n v="8"/>
    <n v="12"/>
    <n v="3"/>
    <n v="2"/>
    <n v="80"/>
    <n v="1"/>
    <n v="4"/>
    <n v="2"/>
    <n v="2"/>
    <n v="2"/>
    <n v="2"/>
    <n v="2"/>
  </r>
  <r>
    <s v="No"/>
    <s v="Travel_Rarely"/>
    <x v="0"/>
    <s v="Current Employees"/>
    <x v="1"/>
    <x v="0"/>
    <x v="1023"/>
    <x v="1023"/>
    <x v="0"/>
    <x v="4"/>
    <x v="2"/>
    <s v="No"/>
    <s v="Y"/>
    <n v="3"/>
    <n v="-2"/>
    <n v="0"/>
    <n v="40"/>
    <n v="0"/>
    <m/>
    <n v="0"/>
    <n v="1"/>
    <n v="750"/>
    <n v="12"/>
    <x v="3"/>
    <n v="1"/>
    <n v="2"/>
    <n v="47"/>
    <n v="3"/>
    <n v="2"/>
    <n v="3"/>
    <n v="4448"/>
    <n v="10748"/>
    <n v="2"/>
    <n v="12"/>
    <n v="3"/>
    <n v="2"/>
    <n v="80"/>
    <n v="1"/>
    <n v="15"/>
    <n v="3"/>
    <n v="7"/>
    <n v="4"/>
    <n v="7"/>
    <n v="7"/>
  </r>
  <r>
    <s v="No"/>
    <s v="Travel_Rarely"/>
    <x v="0"/>
    <s v="Current Employees"/>
    <x v="1"/>
    <x v="0"/>
    <x v="1024"/>
    <x v="1024"/>
    <x v="0"/>
    <x v="4"/>
    <x v="2"/>
    <s v="No"/>
    <s v="Y"/>
    <n v="3"/>
    <n v="-2"/>
    <n v="0"/>
    <n v="40"/>
    <n v="0"/>
    <m/>
    <n v="0"/>
    <n v="1"/>
    <n v="1194"/>
    <n v="1"/>
    <x v="3"/>
    <n v="1"/>
    <n v="3"/>
    <n v="52"/>
    <n v="3"/>
    <n v="2"/>
    <n v="4"/>
    <n v="6513"/>
    <n v="9060"/>
    <n v="4"/>
    <n v="17"/>
    <n v="3"/>
    <n v="4"/>
    <n v="80"/>
    <n v="1"/>
    <n v="12"/>
    <n v="3"/>
    <n v="5"/>
    <n v="3"/>
    <n v="0"/>
    <n v="3"/>
  </r>
  <r>
    <s v="No"/>
    <s v="Travel_Rarely"/>
    <x v="2"/>
    <s v="Current Employees"/>
    <x v="1"/>
    <x v="4"/>
    <x v="1025"/>
    <x v="1025"/>
    <x v="0"/>
    <x v="1"/>
    <x v="2"/>
    <s v="No"/>
    <s v="Y"/>
    <n v="2"/>
    <n v="-2"/>
    <n v="0"/>
    <n v="29"/>
    <n v="0"/>
    <m/>
    <n v="0"/>
    <n v="1"/>
    <n v="590"/>
    <n v="4"/>
    <x v="3"/>
    <n v="1"/>
    <n v="4"/>
    <n v="91"/>
    <n v="2"/>
    <n v="1"/>
    <n v="4"/>
    <n v="2109"/>
    <n v="10007"/>
    <n v="1"/>
    <n v="13"/>
    <n v="3"/>
    <n v="3"/>
    <n v="80"/>
    <n v="1"/>
    <n v="1"/>
    <n v="3"/>
    <n v="1"/>
    <n v="0"/>
    <n v="0"/>
    <n v="0"/>
  </r>
  <r>
    <s v="No"/>
    <s v="Travel_Rarely"/>
    <x v="2"/>
    <s v="Current Employees"/>
    <x v="1"/>
    <x v="0"/>
    <x v="1026"/>
    <x v="1026"/>
    <x v="0"/>
    <x v="1"/>
    <x v="2"/>
    <s v="No"/>
    <s v="Y"/>
    <n v="2"/>
    <n v="-2"/>
    <n v="0"/>
    <n v="34"/>
    <n v="0"/>
    <m/>
    <n v="0"/>
    <n v="1"/>
    <n v="1130"/>
    <n v="3"/>
    <x v="3"/>
    <n v="1"/>
    <n v="4"/>
    <n v="66"/>
    <n v="3"/>
    <n v="2"/>
    <n v="2"/>
    <n v="5433"/>
    <n v="19332"/>
    <n v="1"/>
    <n v="12"/>
    <n v="3"/>
    <n v="3"/>
    <n v="80"/>
    <n v="1"/>
    <n v="11"/>
    <n v="3"/>
    <n v="11"/>
    <n v="8"/>
    <n v="7"/>
    <n v="9"/>
  </r>
  <r>
    <s v="No"/>
    <s v="Travel_Rarely"/>
    <x v="1"/>
    <s v="Current Employees"/>
    <x v="1"/>
    <x v="1"/>
    <x v="1027"/>
    <x v="1027"/>
    <x v="0"/>
    <x v="3"/>
    <x v="2"/>
    <s v="No"/>
    <s v="Y"/>
    <n v="3"/>
    <n v="-2"/>
    <n v="0"/>
    <n v="45"/>
    <n v="0"/>
    <m/>
    <n v="0"/>
    <n v="1"/>
    <n v="1329"/>
    <n v="2"/>
    <x v="0"/>
    <n v="1"/>
    <n v="4"/>
    <n v="59"/>
    <n v="2"/>
    <n v="2"/>
    <n v="4"/>
    <n v="5770"/>
    <n v="5388"/>
    <n v="1"/>
    <n v="19"/>
    <n v="3"/>
    <n v="1"/>
    <n v="80"/>
    <n v="2"/>
    <n v="10"/>
    <n v="3"/>
    <n v="10"/>
    <n v="7"/>
    <n v="3"/>
    <n v="9"/>
  </r>
  <r>
    <s v="No"/>
    <s v="Travel_Rarely"/>
    <x v="1"/>
    <s v="Current Employees"/>
    <x v="1"/>
    <x v="0"/>
    <x v="1028"/>
    <x v="1028"/>
    <x v="0"/>
    <x v="7"/>
    <x v="2"/>
    <s v="No"/>
    <s v="Y"/>
    <n v="3"/>
    <n v="-2"/>
    <n v="0"/>
    <n v="50"/>
    <n v="0"/>
    <m/>
    <n v="0"/>
    <n v="1"/>
    <n v="813"/>
    <n v="17"/>
    <x v="4"/>
    <n v="1"/>
    <n v="4"/>
    <n v="50"/>
    <n v="2"/>
    <n v="3"/>
    <n v="3"/>
    <n v="13269"/>
    <n v="21981"/>
    <n v="5"/>
    <n v="15"/>
    <n v="3"/>
    <n v="3"/>
    <n v="80"/>
    <n v="3"/>
    <n v="19"/>
    <n v="3"/>
    <n v="14"/>
    <n v="11"/>
    <n v="1"/>
    <n v="11"/>
  </r>
  <r>
    <s v="No"/>
    <s v="Travel_Rarely"/>
    <x v="2"/>
    <s v="Current Employees"/>
    <x v="1"/>
    <x v="2"/>
    <x v="1029"/>
    <x v="1029"/>
    <x v="0"/>
    <x v="2"/>
    <x v="1"/>
    <s v="No"/>
    <s v="Y"/>
    <n v="5"/>
    <n v="-2"/>
    <n v="0"/>
    <n v="33"/>
    <n v="0"/>
    <m/>
    <n v="0"/>
    <n v="1"/>
    <n v="1099"/>
    <n v="4"/>
    <x v="2"/>
    <n v="1"/>
    <n v="1"/>
    <n v="82"/>
    <n v="2"/>
    <n v="1"/>
    <n v="2"/>
    <n v="3838"/>
    <n v="8192"/>
    <n v="8"/>
    <n v="11"/>
    <n v="3"/>
    <n v="4"/>
    <n v="80"/>
    <n v="0"/>
    <n v="8"/>
    <n v="3"/>
    <n v="5"/>
    <n v="4"/>
    <n v="0"/>
    <n v="2"/>
  </r>
  <r>
    <s v="No"/>
    <s v="Travel_Rarely"/>
    <x v="0"/>
    <s v="Current Employees"/>
    <x v="1"/>
    <x v="2"/>
    <x v="1030"/>
    <x v="1030"/>
    <x v="0"/>
    <x v="5"/>
    <x v="1"/>
    <s v="No"/>
    <s v="Y"/>
    <n v="2"/>
    <n v="-2"/>
    <n v="0"/>
    <n v="43"/>
    <n v="0"/>
    <m/>
    <n v="0"/>
    <n v="1"/>
    <n v="823"/>
    <n v="6"/>
    <x v="3"/>
    <n v="1"/>
    <n v="1"/>
    <n v="81"/>
    <n v="2"/>
    <n v="5"/>
    <n v="3"/>
    <n v="19392"/>
    <n v="22539"/>
    <n v="7"/>
    <n v="13"/>
    <n v="3"/>
    <n v="4"/>
    <n v="80"/>
    <n v="0"/>
    <n v="21"/>
    <n v="3"/>
    <n v="16"/>
    <n v="12"/>
    <n v="6"/>
    <n v="14"/>
  </r>
  <r>
    <s v="No"/>
    <s v="Travel_Rarely"/>
    <x v="1"/>
    <s v="Current Employees"/>
    <x v="1"/>
    <x v="4"/>
    <x v="1031"/>
    <x v="1031"/>
    <x v="0"/>
    <x v="5"/>
    <x v="1"/>
    <s v="No"/>
    <s v="Y"/>
    <n v="2"/>
    <n v="-2"/>
    <n v="0"/>
    <n v="51"/>
    <n v="0"/>
    <m/>
    <n v="0"/>
    <n v="1"/>
    <n v="942"/>
    <n v="3"/>
    <x v="3"/>
    <n v="1"/>
    <n v="4"/>
    <n v="53"/>
    <n v="3"/>
    <n v="3"/>
    <n v="4"/>
    <n v="13116"/>
    <n v="22984"/>
    <n v="2"/>
    <n v="11"/>
    <n v="3"/>
    <n v="4"/>
    <n v="80"/>
    <n v="0"/>
    <n v="15"/>
    <n v="3"/>
    <n v="2"/>
    <n v="2"/>
    <n v="2"/>
    <n v="2"/>
  </r>
  <r>
    <s v="No"/>
    <s v="Travel_Rarely"/>
    <x v="2"/>
    <s v="Current Employees"/>
    <x v="1"/>
    <x v="0"/>
    <x v="1032"/>
    <x v="1032"/>
    <x v="0"/>
    <x v="1"/>
    <x v="1"/>
    <s v="No"/>
    <s v="Y"/>
    <n v="3"/>
    <n v="-2"/>
    <n v="0"/>
    <n v="34"/>
    <n v="0"/>
    <m/>
    <n v="0"/>
    <n v="1"/>
    <n v="678"/>
    <n v="19"/>
    <x v="3"/>
    <n v="1"/>
    <n v="2"/>
    <n v="35"/>
    <n v="2"/>
    <n v="1"/>
    <n v="4"/>
    <n v="2929"/>
    <n v="20338"/>
    <n v="1"/>
    <n v="12"/>
    <n v="3"/>
    <n v="2"/>
    <n v="80"/>
    <n v="0"/>
    <n v="10"/>
    <n v="3"/>
    <n v="10"/>
    <n v="9"/>
    <n v="8"/>
    <n v="7"/>
  </r>
  <r>
    <s v="No"/>
    <s v="Travel_Rarely"/>
    <x v="2"/>
    <s v="Current Employees"/>
    <x v="1"/>
    <x v="2"/>
    <x v="1033"/>
    <x v="1033"/>
    <x v="0"/>
    <x v="1"/>
    <x v="1"/>
    <s v="No"/>
    <s v="Y"/>
    <n v="0"/>
    <n v="-2"/>
    <n v="0"/>
    <n v="27"/>
    <n v="0"/>
    <m/>
    <n v="0"/>
    <n v="1"/>
    <n v="486"/>
    <n v="8"/>
    <x v="3"/>
    <n v="1"/>
    <n v="2"/>
    <n v="86"/>
    <n v="4"/>
    <n v="1"/>
    <n v="3"/>
    <n v="3517"/>
    <n v="22490"/>
    <n v="7"/>
    <n v="17"/>
    <n v="3"/>
    <n v="1"/>
    <n v="80"/>
    <n v="0"/>
    <n v="5"/>
    <n v="3"/>
    <n v="3"/>
    <n v="2"/>
    <n v="0"/>
    <n v="2"/>
  </r>
  <r>
    <s v="No"/>
    <s v="Travel_Rarely"/>
    <x v="1"/>
    <s v="Current Employees"/>
    <x v="1"/>
    <x v="1"/>
    <x v="1034"/>
    <x v="1034"/>
    <x v="0"/>
    <x v="2"/>
    <x v="1"/>
    <s v="No"/>
    <s v="Y"/>
    <n v="2"/>
    <n v="-2"/>
    <n v="0"/>
    <n v="52"/>
    <n v="0"/>
    <m/>
    <n v="0"/>
    <n v="1"/>
    <n v="258"/>
    <n v="8"/>
    <x v="2"/>
    <n v="1"/>
    <n v="3"/>
    <n v="54"/>
    <n v="3"/>
    <n v="1"/>
    <n v="3"/>
    <n v="2950"/>
    <n v="17363"/>
    <n v="9"/>
    <n v="13"/>
    <n v="3"/>
    <n v="3"/>
    <n v="80"/>
    <n v="0"/>
    <n v="12"/>
    <n v="1"/>
    <n v="5"/>
    <n v="4"/>
    <n v="0"/>
    <n v="4"/>
  </r>
  <r>
    <s v="No"/>
    <s v="Travel_Rarely"/>
    <x v="0"/>
    <s v="Current Employees"/>
    <x v="1"/>
    <x v="2"/>
    <x v="1035"/>
    <x v="1035"/>
    <x v="0"/>
    <x v="7"/>
    <x v="1"/>
    <s v="No"/>
    <s v="Y"/>
    <n v="3"/>
    <n v="-2"/>
    <n v="0"/>
    <n v="38"/>
    <n v="0"/>
    <m/>
    <n v="0"/>
    <n v="1"/>
    <n v="201"/>
    <n v="10"/>
    <x v="3"/>
    <n v="1"/>
    <n v="2"/>
    <n v="99"/>
    <n v="1"/>
    <n v="3"/>
    <n v="3"/>
    <n v="13206"/>
    <n v="3376"/>
    <n v="3"/>
    <n v="12"/>
    <n v="3"/>
    <n v="1"/>
    <n v="80"/>
    <n v="1"/>
    <n v="20"/>
    <n v="3"/>
    <n v="18"/>
    <n v="16"/>
    <n v="1"/>
    <n v="11"/>
  </r>
  <r>
    <s v="No"/>
    <s v="Travel_Rarely"/>
    <x v="0"/>
    <s v="Current Employees"/>
    <x v="1"/>
    <x v="2"/>
    <x v="1036"/>
    <x v="1036"/>
    <x v="0"/>
    <x v="1"/>
    <x v="1"/>
    <s v="No"/>
    <s v="Y"/>
    <n v="2"/>
    <n v="-2"/>
    <n v="0"/>
    <n v="37"/>
    <n v="0"/>
    <m/>
    <n v="0"/>
    <n v="1"/>
    <n v="1470"/>
    <n v="10"/>
    <x v="3"/>
    <n v="1"/>
    <n v="2"/>
    <n v="71"/>
    <n v="3"/>
    <n v="1"/>
    <n v="2"/>
    <n v="3936"/>
    <n v="9953"/>
    <n v="1"/>
    <n v="11"/>
    <n v="3"/>
    <n v="1"/>
    <n v="80"/>
    <n v="1"/>
    <n v="8"/>
    <n v="1"/>
    <n v="8"/>
    <n v="4"/>
    <n v="7"/>
    <n v="7"/>
  </r>
  <r>
    <s v="No"/>
    <s v="Travel_Rarely"/>
    <x v="2"/>
    <s v="Current Employees"/>
    <x v="1"/>
    <x v="1"/>
    <x v="1037"/>
    <x v="1037"/>
    <x v="0"/>
    <x v="4"/>
    <x v="1"/>
    <s v="No"/>
    <s v="Y"/>
    <n v="3"/>
    <n v="-2"/>
    <n v="0"/>
    <n v="29"/>
    <n v="0"/>
    <m/>
    <n v="0"/>
    <n v="1"/>
    <n v="441"/>
    <n v="8"/>
    <x v="1"/>
    <n v="1"/>
    <n v="3"/>
    <n v="39"/>
    <n v="1"/>
    <n v="2"/>
    <n v="3"/>
    <n v="9715"/>
    <n v="7288"/>
    <n v="3"/>
    <n v="13"/>
    <n v="3"/>
    <n v="3"/>
    <n v="80"/>
    <n v="1"/>
    <n v="9"/>
    <n v="3"/>
    <n v="7"/>
    <n v="7"/>
    <n v="0"/>
    <n v="7"/>
  </r>
  <r>
    <s v="No"/>
    <s v="Travel_Rarely"/>
    <x v="0"/>
    <s v="Current Employees"/>
    <x v="1"/>
    <x v="0"/>
    <x v="1038"/>
    <x v="1038"/>
    <x v="0"/>
    <x v="1"/>
    <x v="1"/>
    <s v="No"/>
    <s v="Y"/>
    <n v="5"/>
    <n v="-2"/>
    <n v="0"/>
    <n v="35"/>
    <n v="0"/>
    <m/>
    <n v="0"/>
    <n v="1"/>
    <n v="287"/>
    <n v="1"/>
    <x v="2"/>
    <n v="1"/>
    <n v="3"/>
    <n v="62"/>
    <n v="1"/>
    <n v="1"/>
    <n v="4"/>
    <n v="2977"/>
    <n v="8952"/>
    <n v="1"/>
    <n v="12"/>
    <n v="3"/>
    <n v="4"/>
    <n v="80"/>
    <n v="1"/>
    <n v="4"/>
    <n v="3"/>
    <n v="4"/>
    <n v="3"/>
    <n v="1"/>
    <n v="1"/>
  </r>
  <r>
    <s v="No"/>
    <s v="Travel_Rarely"/>
    <x v="0"/>
    <s v="Current Employees"/>
    <x v="1"/>
    <x v="0"/>
    <x v="1039"/>
    <x v="1039"/>
    <x v="0"/>
    <x v="2"/>
    <x v="1"/>
    <s v="No"/>
    <s v="Y"/>
    <n v="5"/>
    <n v="-2"/>
    <n v="0"/>
    <n v="40"/>
    <n v="0"/>
    <m/>
    <n v="0"/>
    <n v="1"/>
    <n v="616"/>
    <n v="2"/>
    <x v="0"/>
    <n v="1"/>
    <n v="3"/>
    <n v="99"/>
    <n v="3"/>
    <n v="1"/>
    <n v="3"/>
    <n v="3377"/>
    <n v="25605"/>
    <n v="4"/>
    <n v="17"/>
    <n v="3"/>
    <n v="4"/>
    <n v="80"/>
    <n v="1"/>
    <n v="7"/>
    <n v="2"/>
    <n v="4"/>
    <n v="3"/>
    <n v="0"/>
    <n v="2"/>
  </r>
  <r>
    <s v="No"/>
    <s v="Travel_Rarely"/>
    <x v="1"/>
    <s v="Current Employees"/>
    <x v="1"/>
    <x v="0"/>
    <x v="1040"/>
    <x v="1040"/>
    <x v="0"/>
    <x v="2"/>
    <x v="1"/>
    <s v="No"/>
    <s v="Y"/>
    <n v="3"/>
    <n v="-2"/>
    <n v="0"/>
    <n v="49"/>
    <n v="0"/>
    <m/>
    <n v="0"/>
    <n v="1"/>
    <n v="722"/>
    <n v="25"/>
    <x v="2"/>
    <n v="1"/>
    <n v="3"/>
    <n v="84"/>
    <n v="3"/>
    <n v="1"/>
    <n v="3"/>
    <n v="3211"/>
    <n v="22102"/>
    <n v="1"/>
    <n v="14"/>
    <n v="3"/>
    <n v="4"/>
    <n v="80"/>
    <n v="1"/>
    <n v="10"/>
    <n v="2"/>
    <n v="9"/>
    <n v="6"/>
    <n v="1"/>
    <n v="4"/>
  </r>
  <r>
    <s v="No"/>
    <s v="Travel_Rarely"/>
    <x v="1"/>
    <s v="Current Employees"/>
    <x v="1"/>
    <x v="1"/>
    <x v="1041"/>
    <x v="1041"/>
    <x v="0"/>
    <x v="1"/>
    <x v="1"/>
    <s v="No"/>
    <s v="Y"/>
    <n v="3"/>
    <n v="-2"/>
    <n v="0"/>
    <n v="48"/>
    <n v="0"/>
    <m/>
    <n v="0"/>
    <n v="1"/>
    <n v="1108"/>
    <n v="15"/>
    <x v="2"/>
    <n v="1"/>
    <n v="3"/>
    <n v="65"/>
    <n v="3"/>
    <n v="1"/>
    <n v="3"/>
    <n v="2367"/>
    <n v="16530"/>
    <n v="8"/>
    <n v="12"/>
    <n v="3"/>
    <n v="4"/>
    <n v="80"/>
    <n v="1"/>
    <n v="10"/>
    <n v="2"/>
    <n v="8"/>
    <n v="2"/>
    <n v="7"/>
    <n v="6"/>
  </r>
  <r>
    <s v="No"/>
    <s v="Travel_Rarely"/>
    <x v="2"/>
    <s v="Current Employees"/>
    <x v="1"/>
    <x v="0"/>
    <x v="1042"/>
    <x v="1042"/>
    <x v="0"/>
    <x v="2"/>
    <x v="1"/>
    <s v="No"/>
    <s v="Y"/>
    <n v="2"/>
    <n v="-2"/>
    <n v="0"/>
    <n v="34"/>
    <n v="0"/>
    <m/>
    <n v="0"/>
    <n v="1"/>
    <n v="401"/>
    <n v="1"/>
    <x v="3"/>
    <n v="1"/>
    <n v="4"/>
    <n v="86"/>
    <n v="2"/>
    <n v="1"/>
    <n v="2"/>
    <n v="3294"/>
    <n v="3708"/>
    <n v="5"/>
    <n v="17"/>
    <n v="3"/>
    <n v="1"/>
    <n v="80"/>
    <n v="1"/>
    <n v="7"/>
    <n v="2"/>
    <n v="5"/>
    <n v="4"/>
    <n v="0"/>
    <n v="2"/>
  </r>
  <r>
    <s v="No"/>
    <s v="Travel_Rarely"/>
    <x v="2"/>
    <s v="Current Employees"/>
    <x v="1"/>
    <x v="0"/>
    <x v="1043"/>
    <x v="1043"/>
    <x v="0"/>
    <x v="1"/>
    <x v="1"/>
    <s v="No"/>
    <s v="Y"/>
    <n v="2"/>
    <n v="-2"/>
    <n v="0"/>
    <n v="32"/>
    <n v="0"/>
    <m/>
    <n v="0"/>
    <n v="1"/>
    <n v="824"/>
    <n v="5"/>
    <x v="0"/>
    <n v="1"/>
    <n v="4"/>
    <n v="67"/>
    <n v="2"/>
    <n v="2"/>
    <n v="2"/>
    <n v="5878"/>
    <n v="15624"/>
    <n v="3"/>
    <n v="12"/>
    <n v="3"/>
    <n v="1"/>
    <n v="80"/>
    <n v="1"/>
    <n v="12"/>
    <n v="3"/>
    <n v="7"/>
    <n v="1"/>
    <n v="2"/>
    <n v="5"/>
  </r>
  <r>
    <s v="No"/>
    <s v="Travel_Rarely"/>
    <x v="0"/>
    <s v="Current Employees"/>
    <x v="1"/>
    <x v="1"/>
    <x v="1044"/>
    <x v="1044"/>
    <x v="0"/>
    <x v="2"/>
    <x v="1"/>
    <s v="No"/>
    <s v="Y"/>
    <n v="3"/>
    <n v="-2"/>
    <n v="0"/>
    <n v="38"/>
    <n v="0"/>
    <m/>
    <n v="0"/>
    <n v="1"/>
    <n v="1153"/>
    <n v="6"/>
    <x v="0"/>
    <n v="1"/>
    <n v="4"/>
    <n v="40"/>
    <n v="2"/>
    <n v="1"/>
    <n v="3"/>
    <n v="3702"/>
    <n v="16376"/>
    <n v="1"/>
    <n v="11"/>
    <n v="3"/>
    <n v="2"/>
    <n v="80"/>
    <n v="1"/>
    <n v="5"/>
    <n v="3"/>
    <n v="5"/>
    <n v="4"/>
    <n v="0"/>
    <n v="4"/>
  </r>
  <r>
    <s v="No"/>
    <s v="Travel_Rarely"/>
    <x v="0"/>
    <s v="Current Employees"/>
    <x v="1"/>
    <x v="2"/>
    <x v="1045"/>
    <x v="1045"/>
    <x v="0"/>
    <x v="2"/>
    <x v="1"/>
    <s v="No"/>
    <s v="Y"/>
    <n v="5"/>
    <n v="-2"/>
    <n v="0"/>
    <n v="38"/>
    <n v="0"/>
    <m/>
    <n v="0"/>
    <n v="1"/>
    <n v="1495"/>
    <n v="4"/>
    <x v="0"/>
    <n v="1"/>
    <n v="4"/>
    <n v="87"/>
    <n v="3"/>
    <n v="1"/>
    <n v="3"/>
    <n v="3306"/>
    <n v="26176"/>
    <n v="7"/>
    <n v="19"/>
    <n v="3"/>
    <n v="4"/>
    <n v="80"/>
    <n v="1"/>
    <n v="7"/>
    <n v="2"/>
    <n v="0"/>
    <n v="0"/>
    <n v="0"/>
    <n v="0"/>
  </r>
  <r>
    <s v="No"/>
    <s v="Travel_Rarely"/>
    <x v="2"/>
    <s v="Current Employees"/>
    <x v="1"/>
    <x v="2"/>
    <x v="1046"/>
    <x v="1046"/>
    <x v="0"/>
    <x v="2"/>
    <x v="1"/>
    <s v="No"/>
    <s v="Y"/>
    <n v="2"/>
    <n v="-2"/>
    <n v="0"/>
    <n v="29"/>
    <n v="0"/>
    <m/>
    <n v="0"/>
    <n v="1"/>
    <n v="1082"/>
    <n v="9"/>
    <x v="2"/>
    <n v="1"/>
    <n v="4"/>
    <n v="43"/>
    <n v="3"/>
    <n v="1"/>
    <n v="3"/>
    <n v="2974"/>
    <n v="25412"/>
    <n v="9"/>
    <n v="17"/>
    <n v="3"/>
    <n v="3"/>
    <n v="80"/>
    <n v="1"/>
    <n v="9"/>
    <n v="3"/>
    <n v="5"/>
    <n v="3"/>
    <n v="1"/>
    <n v="2"/>
  </r>
  <r>
    <s v="No"/>
    <s v="Travel_Rarely"/>
    <x v="1"/>
    <s v="Current Employees"/>
    <x v="1"/>
    <x v="2"/>
    <x v="1047"/>
    <x v="1047"/>
    <x v="0"/>
    <x v="1"/>
    <x v="1"/>
    <s v="No"/>
    <s v="Y"/>
    <n v="2"/>
    <n v="-2"/>
    <n v="0"/>
    <n v="54"/>
    <n v="0"/>
    <m/>
    <n v="0"/>
    <n v="1"/>
    <n v="431"/>
    <n v="7"/>
    <x v="2"/>
    <n v="1"/>
    <n v="4"/>
    <n v="68"/>
    <n v="3"/>
    <n v="2"/>
    <n v="4"/>
    <n v="6854"/>
    <n v="15696"/>
    <n v="4"/>
    <n v="15"/>
    <n v="3"/>
    <n v="2"/>
    <n v="80"/>
    <n v="1"/>
    <n v="14"/>
    <n v="2"/>
    <n v="7"/>
    <n v="1"/>
    <n v="1"/>
    <n v="7"/>
  </r>
  <r>
    <s v="No"/>
    <s v="Travel_Rarely"/>
    <x v="0"/>
    <s v="Current Employees"/>
    <x v="1"/>
    <x v="0"/>
    <x v="1048"/>
    <x v="1048"/>
    <x v="0"/>
    <x v="3"/>
    <x v="1"/>
    <s v="No"/>
    <s v="Y"/>
    <n v="2"/>
    <n v="-2"/>
    <n v="0"/>
    <n v="40"/>
    <n v="0"/>
    <m/>
    <n v="0"/>
    <n v="1"/>
    <n v="884"/>
    <n v="15"/>
    <x v="3"/>
    <n v="1"/>
    <n v="1"/>
    <n v="80"/>
    <n v="2"/>
    <n v="3"/>
    <n v="3"/>
    <n v="10435"/>
    <n v="25800"/>
    <n v="1"/>
    <n v="13"/>
    <n v="3"/>
    <n v="4"/>
    <n v="80"/>
    <n v="2"/>
    <n v="18"/>
    <n v="3"/>
    <n v="18"/>
    <n v="15"/>
    <n v="14"/>
    <n v="12"/>
  </r>
  <r>
    <s v="No"/>
    <s v="Travel_Rarely"/>
    <x v="1"/>
    <s v="Current Employees"/>
    <x v="1"/>
    <x v="1"/>
    <x v="1049"/>
    <x v="1049"/>
    <x v="0"/>
    <x v="7"/>
    <x v="1"/>
    <s v="No"/>
    <s v="Y"/>
    <n v="2"/>
    <n v="-2"/>
    <n v="0"/>
    <n v="49"/>
    <n v="0"/>
    <m/>
    <n v="0"/>
    <n v="1"/>
    <n v="301"/>
    <n v="22"/>
    <x v="2"/>
    <n v="1"/>
    <n v="1"/>
    <n v="72"/>
    <n v="3"/>
    <n v="4"/>
    <n v="2"/>
    <n v="16413"/>
    <n v="3498"/>
    <n v="3"/>
    <n v="16"/>
    <n v="3"/>
    <n v="2"/>
    <n v="80"/>
    <n v="2"/>
    <n v="27"/>
    <n v="3"/>
    <n v="4"/>
    <n v="2"/>
    <n v="1"/>
    <n v="2"/>
  </r>
  <r>
    <s v="No"/>
    <s v="Travel_Rarely"/>
    <x v="1"/>
    <s v="Current Employees"/>
    <x v="1"/>
    <x v="0"/>
    <x v="1050"/>
    <x v="1050"/>
    <x v="0"/>
    <x v="1"/>
    <x v="1"/>
    <s v="No"/>
    <s v="Y"/>
    <n v="6"/>
    <n v="-2"/>
    <n v="0"/>
    <n v="54"/>
    <n v="0"/>
    <m/>
    <n v="0"/>
    <n v="1"/>
    <n v="155"/>
    <n v="9"/>
    <x v="0"/>
    <n v="1"/>
    <n v="1"/>
    <n v="67"/>
    <n v="3"/>
    <n v="2"/>
    <n v="3"/>
    <n v="2897"/>
    <n v="22474"/>
    <n v="3"/>
    <n v="11"/>
    <n v="3"/>
    <n v="3"/>
    <n v="80"/>
    <n v="2"/>
    <n v="9"/>
    <n v="2"/>
    <n v="4"/>
    <n v="3"/>
    <n v="2"/>
    <n v="3"/>
  </r>
  <r>
    <s v="No"/>
    <s v="Travel_Rarely"/>
    <x v="1"/>
    <s v="Current Employees"/>
    <x v="1"/>
    <x v="2"/>
    <x v="1051"/>
    <x v="1051"/>
    <x v="0"/>
    <x v="7"/>
    <x v="1"/>
    <s v="No"/>
    <s v="Y"/>
    <n v="2"/>
    <n v="-2"/>
    <n v="0"/>
    <n v="47"/>
    <n v="0"/>
    <m/>
    <n v="0"/>
    <n v="1"/>
    <n v="359"/>
    <n v="2"/>
    <x v="2"/>
    <n v="1"/>
    <n v="1"/>
    <n v="82"/>
    <n v="3"/>
    <n v="4"/>
    <n v="3"/>
    <n v="17169"/>
    <n v="26703"/>
    <n v="3"/>
    <n v="19"/>
    <n v="3"/>
    <n v="2"/>
    <n v="80"/>
    <n v="2"/>
    <n v="26"/>
    <n v="4"/>
    <n v="20"/>
    <n v="17"/>
    <n v="5"/>
    <n v="6"/>
  </r>
  <r>
    <s v="No"/>
    <s v="Travel_Rarely"/>
    <x v="1"/>
    <s v="Current Employees"/>
    <x v="1"/>
    <x v="0"/>
    <x v="1052"/>
    <x v="1052"/>
    <x v="0"/>
    <x v="3"/>
    <x v="1"/>
    <s v="No"/>
    <s v="Y"/>
    <n v="2"/>
    <n v="-2"/>
    <n v="0"/>
    <n v="45"/>
    <n v="0"/>
    <m/>
    <n v="0"/>
    <n v="1"/>
    <n v="556"/>
    <n v="25"/>
    <x v="0"/>
    <n v="1"/>
    <n v="2"/>
    <n v="93"/>
    <n v="2"/>
    <n v="2"/>
    <n v="4"/>
    <n v="5906"/>
    <n v="23888"/>
    <n v="0"/>
    <n v="13"/>
    <n v="3"/>
    <n v="4"/>
    <n v="80"/>
    <n v="2"/>
    <n v="10"/>
    <n v="2"/>
    <n v="9"/>
    <n v="8"/>
    <n v="3"/>
    <n v="8"/>
  </r>
  <r>
    <s v="No"/>
    <s v="Travel_Rarely"/>
    <x v="0"/>
    <s v="Current Employees"/>
    <x v="1"/>
    <x v="0"/>
    <x v="1053"/>
    <x v="1053"/>
    <x v="0"/>
    <x v="4"/>
    <x v="1"/>
    <s v="No"/>
    <s v="Y"/>
    <n v="6"/>
    <n v="-2"/>
    <n v="0"/>
    <n v="36"/>
    <n v="0"/>
    <m/>
    <n v="0"/>
    <n v="1"/>
    <n v="711"/>
    <n v="5"/>
    <x v="2"/>
    <n v="1"/>
    <n v="2"/>
    <n v="42"/>
    <n v="3"/>
    <n v="3"/>
    <n v="3"/>
    <n v="8008"/>
    <n v="22792"/>
    <n v="4"/>
    <n v="12"/>
    <n v="3"/>
    <n v="3"/>
    <n v="80"/>
    <n v="2"/>
    <n v="9"/>
    <n v="3"/>
    <n v="3"/>
    <n v="2"/>
    <n v="0"/>
    <n v="2"/>
  </r>
  <r>
    <s v="No"/>
    <s v="Travel_Rarely"/>
    <x v="2"/>
    <s v="Current Employees"/>
    <x v="1"/>
    <x v="1"/>
    <x v="1054"/>
    <x v="1054"/>
    <x v="0"/>
    <x v="1"/>
    <x v="1"/>
    <s v="No"/>
    <s v="Y"/>
    <n v="3"/>
    <n v="-2"/>
    <n v="0"/>
    <n v="32"/>
    <n v="0"/>
    <m/>
    <n v="0"/>
    <n v="1"/>
    <n v="634"/>
    <n v="5"/>
    <x v="2"/>
    <n v="1"/>
    <n v="2"/>
    <n v="35"/>
    <n v="4"/>
    <n v="1"/>
    <n v="4"/>
    <n v="3312"/>
    <n v="18783"/>
    <n v="3"/>
    <n v="17"/>
    <n v="3"/>
    <n v="4"/>
    <n v="80"/>
    <n v="2"/>
    <n v="6"/>
    <n v="3"/>
    <n v="3"/>
    <n v="2"/>
    <n v="0"/>
    <n v="2"/>
  </r>
  <r>
    <s v="No"/>
    <s v="Travel_Rarely"/>
    <x v="0"/>
    <s v="Current Employees"/>
    <x v="1"/>
    <x v="2"/>
    <x v="1055"/>
    <x v="1055"/>
    <x v="0"/>
    <x v="1"/>
    <x v="1"/>
    <s v="No"/>
    <s v="Y"/>
    <n v="2"/>
    <n v="-2"/>
    <n v="0"/>
    <n v="40"/>
    <n v="0"/>
    <m/>
    <n v="0"/>
    <n v="1"/>
    <n v="1194"/>
    <n v="2"/>
    <x v="2"/>
    <n v="1"/>
    <n v="3"/>
    <n v="98"/>
    <n v="3"/>
    <n v="1"/>
    <n v="3"/>
    <n v="2001"/>
    <n v="12549"/>
    <n v="2"/>
    <n v="14"/>
    <n v="3"/>
    <n v="2"/>
    <n v="80"/>
    <n v="3"/>
    <n v="20"/>
    <n v="3"/>
    <n v="5"/>
    <n v="3"/>
    <n v="0"/>
    <n v="2"/>
  </r>
  <r>
    <s v="No"/>
    <s v="Travel_Rarely"/>
    <x v="2"/>
    <s v="Current Employees"/>
    <x v="1"/>
    <x v="0"/>
    <x v="1056"/>
    <x v="1056"/>
    <x v="0"/>
    <x v="7"/>
    <x v="0"/>
    <s v="No"/>
    <s v="Y"/>
    <n v="3"/>
    <n v="-2"/>
    <n v="0"/>
    <n v="31"/>
    <n v="0"/>
    <m/>
    <n v="0"/>
    <n v="1"/>
    <n v="182"/>
    <n v="8"/>
    <x v="4"/>
    <n v="1"/>
    <n v="1"/>
    <n v="93"/>
    <n v="3"/>
    <n v="4"/>
    <n v="2"/>
    <n v="16422"/>
    <n v="8847"/>
    <n v="3"/>
    <n v="11"/>
    <n v="3"/>
    <n v="3"/>
    <n v="80"/>
    <n v="0"/>
    <n v="9"/>
    <n v="4"/>
    <n v="3"/>
    <n v="2"/>
    <n v="1"/>
    <n v="0"/>
  </r>
  <r>
    <s v="No"/>
    <s v="Travel_Rarely"/>
    <x v="0"/>
    <s v="Current Employees"/>
    <x v="1"/>
    <x v="2"/>
    <x v="1057"/>
    <x v="1057"/>
    <x v="0"/>
    <x v="2"/>
    <x v="0"/>
    <s v="No"/>
    <s v="Y"/>
    <n v="6"/>
    <n v="-2"/>
    <n v="0"/>
    <n v="37"/>
    <n v="0"/>
    <m/>
    <n v="0"/>
    <n v="1"/>
    <n v="1462"/>
    <n v="11"/>
    <x v="3"/>
    <n v="1"/>
    <n v="1"/>
    <n v="94"/>
    <n v="3"/>
    <n v="1"/>
    <n v="3"/>
    <n v="3629"/>
    <n v="19106"/>
    <n v="4"/>
    <n v="18"/>
    <n v="3"/>
    <n v="1"/>
    <n v="80"/>
    <n v="0"/>
    <n v="8"/>
    <n v="3"/>
    <n v="3"/>
    <n v="2"/>
    <n v="0"/>
    <n v="2"/>
  </r>
  <r>
    <s v="No"/>
    <s v="Travel_Rarely"/>
    <x v="2"/>
    <s v="Current Employees"/>
    <x v="1"/>
    <x v="2"/>
    <x v="1058"/>
    <x v="1058"/>
    <x v="0"/>
    <x v="3"/>
    <x v="0"/>
    <s v="No"/>
    <s v="Y"/>
    <n v="3"/>
    <n v="-2"/>
    <n v="0"/>
    <n v="30"/>
    <n v="0"/>
    <m/>
    <n v="0"/>
    <n v="1"/>
    <n v="1092"/>
    <n v="10"/>
    <x v="3"/>
    <n v="1"/>
    <n v="1"/>
    <n v="64"/>
    <n v="3"/>
    <n v="3"/>
    <n v="3"/>
    <n v="9667"/>
    <n v="2739"/>
    <n v="9"/>
    <n v="14"/>
    <n v="3"/>
    <n v="2"/>
    <n v="80"/>
    <n v="0"/>
    <n v="9"/>
    <n v="3"/>
    <n v="7"/>
    <n v="7"/>
    <n v="0"/>
    <n v="2"/>
  </r>
  <r>
    <s v="No"/>
    <s v="Travel_Rarely"/>
    <x v="0"/>
    <s v="Current Employees"/>
    <x v="1"/>
    <x v="0"/>
    <x v="1059"/>
    <x v="1059"/>
    <x v="0"/>
    <x v="3"/>
    <x v="0"/>
    <s v="No"/>
    <s v="Y"/>
    <n v="3"/>
    <n v="-2"/>
    <n v="0"/>
    <n v="39"/>
    <n v="0"/>
    <m/>
    <n v="0"/>
    <n v="1"/>
    <n v="1089"/>
    <n v="6"/>
    <x v="3"/>
    <n v="1"/>
    <n v="2"/>
    <n v="32"/>
    <n v="3"/>
    <n v="3"/>
    <n v="2"/>
    <n v="8376"/>
    <n v="9150"/>
    <n v="4"/>
    <n v="18"/>
    <n v="3"/>
    <n v="4"/>
    <n v="80"/>
    <n v="0"/>
    <n v="9"/>
    <n v="3"/>
    <n v="2"/>
    <n v="0"/>
    <n v="2"/>
    <n v="2"/>
  </r>
  <r>
    <s v="No"/>
    <s v="Travel_Rarely"/>
    <x v="1"/>
    <s v="Current Employees"/>
    <x v="1"/>
    <x v="0"/>
    <x v="1060"/>
    <x v="1060"/>
    <x v="0"/>
    <x v="2"/>
    <x v="0"/>
    <s v="No"/>
    <s v="Y"/>
    <n v="2"/>
    <n v="-2"/>
    <n v="0"/>
    <n v="47"/>
    <n v="0"/>
    <m/>
    <n v="0"/>
    <n v="1"/>
    <n v="207"/>
    <n v="9"/>
    <x v="2"/>
    <n v="1"/>
    <n v="2"/>
    <n v="64"/>
    <n v="3"/>
    <n v="1"/>
    <n v="3"/>
    <n v="2105"/>
    <n v="5411"/>
    <n v="4"/>
    <n v="12"/>
    <n v="3"/>
    <n v="3"/>
    <n v="80"/>
    <n v="0"/>
    <n v="7"/>
    <n v="3"/>
    <n v="2"/>
    <n v="2"/>
    <n v="2"/>
    <n v="0"/>
  </r>
  <r>
    <s v="No"/>
    <s v="Travel_Rarely"/>
    <x v="2"/>
    <s v="Current Employees"/>
    <x v="1"/>
    <x v="0"/>
    <x v="1061"/>
    <x v="1061"/>
    <x v="0"/>
    <x v="2"/>
    <x v="0"/>
    <s v="No"/>
    <s v="Y"/>
    <n v="3"/>
    <n v="-2"/>
    <n v="0"/>
    <n v="32"/>
    <n v="0"/>
    <m/>
    <n v="0"/>
    <n v="1"/>
    <n v="267"/>
    <n v="29"/>
    <x v="2"/>
    <n v="1"/>
    <n v="3"/>
    <n v="49"/>
    <n v="2"/>
    <n v="1"/>
    <n v="2"/>
    <n v="2837"/>
    <n v="15919"/>
    <n v="1"/>
    <n v="13"/>
    <n v="3"/>
    <n v="3"/>
    <n v="80"/>
    <n v="0"/>
    <n v="6"/>
    <n v="3"/>
    <n v="6"/>
    <n v="2"/>
    <n v="4"/>
    <n v="1"/>
  </r>
  <r>
    <s v="No"/>
    <s v="Travel_Rarely"/>
    <x v="4"/>
    <s v="Current Employees"/>
    <x v="1"/>
    <x v="2"/>
    <x v="1062"/>
    <x v="1062"/>
    <x v="0"/>
    <x v="2"/>
    <x v="0"/>
    <s v="No"/>
    <s v="Y"/>
    <n v="3"/>
    <n v="-2"/>
    <n v="0"/>
    <n v="23"/>
    <n v="0"/>
    <m/>
    <n v="0"/>
    <n v="1"/>
    <n v="160"/>
    <n v="4"/>
    <x v="1"/>
    <n v="1"/>
    <n v="3"/>
    <n v="51"/>
    <n v="3"/>
    <n v="1"/>
    <n v="2"/>
    <n v="3295"/>
    <n v="12862"/>
    <n v="1"/>
    <n v="13"/>
    <n v="3"/>
    <n v="3"/>
    <n v="80"/>
    <n v="0"/>
    <n v="3"/>
    <n v="1"/>
    <n v="3"/>
    <n v="2"/>
    <n v="1"/>
    <n v="2"/>
  </r>
  <r>
    <s v="No"/>
    <s v="Travel_Rarely"/>
    <x v="2"/>
    <s v="Current Employees"/>
    <x v="1"/>
    <x v="2"/>
    <x v="1063"/>
    <x v="1063"/>
    <x v="0"/>
    <x v="1"/>
    <x v="0"/>
    <s v="No"/>
    <s v="Y"/>
    <n v="5"/>
    <n v="-2"/>
    <n v="0"/>
    <n v="27"/>
    <n v="0"/>
    <m/>
    <n v="0"/>
    <n v="1"/>
    <n v="1054"/>
    <n v="8"/>
    <x v="3"/>
    <n v="1"/>
    <n v="3"/>
    <n v="67"/>
    <n v="3"/>
    <n v="1"/>
    <n v="4"/>
    <n v="3445"/>
    <n v="6152"/>
    <n v="1"/>
    <n v="11"/>
    <n v="3"/>
    <n v="3"/>
    <n v="80"/>
    <n v="0"/>
    <n v="6"/>
    <n v="2"/>
    <n v="6"/>
    <n v="2"/>
    <n v="1"/>
    <n v="4"/>
  </r>
  <r>
    <s v="No"/>
    <s v="Travel_Rarely"/>
    <x v="2"/>
    <s v="Current Employees"/>
    <x v="1"/>
    <x v="2"/>
    <x v="1064"/>
    <x v="1064"/>
    <x v="0"/>
    <x v="1"/>
    <x v="0"/>
    <s v="No"/>
    <s v="Y"/>
    <n v="3"/>
    <n v="-2"/>
    <n v="0"/>
    <n v="29"/>
    <n v="0"/>
    <m/>
    <n v="0"/>
    <n v="1"/>
    <n v="468"/>
    <n v="28"/>
    <x v="2"/>
    <n v="1"/>
    <n v="4"/>
    <n v="73"/>
    <n v="2"/>
    <n v="1"/>
    <n v="3"/>
    <n v="3785"/>
    <n v="8489"/>
    <n v="1"/>
    <n v="14"/>
    <n v="3"/>
    <n v="2"/>
    <n v="80"/>
    <n v="0"/>
    <n v="5"/>
    <n v="1"/>
    <n v="5"/>
    <n v="4"/>
    <n v="0"/>
    <n v="4"/>
  </r>
  <r>
    <s v="No"/>
    <s v="Travel_Rarely"/>
    <x v="0"/>
    <s v="Current Employees"/>
    <x v="1"/>
    <x v="0"/>
    <x v="1065"/>
    <x v="1065"/>
    <x v="0"/>
    <x v="4"/>
    <x v="0"/>
    <s v="No"/>
    <s v="Y"/>
    <n v="3"/>
    <n v="-2"/>
    <n v="0"/>
    <n v="35"/>
    <n v="0"/>
    <m/>
    <n v="0"/>
    <n v="1"/>
    <n v="1029"/>
    <n v="16"/>
    <x v="3"/>
    <n v="1"/>
    <n v="4"/>
    <n v="91"/>
    <n v="2"/>
    <n v="3"/>
    <n v="2"/>
    <n v="8606"/>
    <n v="21195"/>
    <n v="1"/>
    <n v="19"/>
    <n v="3"/>
    <n v="4"/>
    <n v="80"/>
    <n v="0"/>
    <n v="11"/>
    <n v="1"/>
    <n v="11"/>
    <n v="8"/>
    <n v="3"/>
    <n v="3"/>
  </r>
  <r>
    <s v="No"/>
    <s v="Travel_Rarely"/>
    <x v="1"/>
    <s v="Current Employees"/>
    <x v="1"/>
    <x v="4"/>
    <x v="1066"/>
    <x v="1066"/>
    <x v="0"/>
    <x v="7"/>
    <x v="0"/>
    <s v="No"/>
    <s v="Y"/>
    <n v="2"/>
    <n v="-2"/>
    <n v="0"/>
    <n v="45"/>
    <n v="0"/>
    <m/>
    <n v="0"/>
    <n v="1"/>
    <n v="1005"/>
    <n v="28"/>
    <x v="0"/>
    <n v="1"/>
    <n v="4"/>
    <n v="48"/>
    <n v="2"/>
    <n v="4"/>
    <n v="4"/>
    <n v="16704"/>
    <n v="17119"/>
    <n v="1"/>
    <n v="11"/>
    <n v="3"/>
    <n v="3"/>
    <n v="80"/>
    <n v="0"/>
    <n v="21"/>
    <n v="3"/>
    <n v="21"/>
    <n v="6"/>
    <n v="8"/>
    <n v="6"/>
  </r>
  <r>
    <s v="No"/>
    <s v="Travel_Rarely"/>
    <x v="1"/>
    <s v="Current Employees"/>
    <x v="1"/>
    <x v="2"/>
    <x v="1067"/>
    <x v="1067"/>
    <x v="0"/>
    <x v="7"/>
    <x v="0"/>
    <s v="No"/>
    <s v="Y"/>
    <n v="3"/>
    <n v="-2"/>
    <n v="0"/>
    <n v="54"/>
    <n v="0"/>
    <m/>
    <n v="0"/>
    <n v="1"/>
    <n v="971"/>
    <n v="1"/>
    <x v="3"/>
    <n v="1"/>
    <n v="4"/>
    <n v="54"/>
    <n v="3"/>
    <n v="4"/>
    <n v="4"/>
    <n v="17328"/>
    <n v="5652"/>
    <n v="6"/>
    <n v="19"/>
    <n v="3"/>
    <n v="4"/>
    <n v="80"/>
    <n v="0"/>
    <n v="29"/>
    <n v="2"/>
    <n v="20"/>
    <n v="7"/>
    <n v="12"/>
    <n v="7"/>
  </r>
  <r>
    <s v="No"/>
    <s v="Travel_Rarely"/>
    <x v="1"/>
    <s v="Current Employees"/>
    <x v="0"/>
    <x v="4"/>
    <x v="1068"/>
    <x v="1068"/>
    <x v="0"/>
    <x v="0"/>
    <x v="2"/>
    <s v="No"/>
    <s v="Y"/>
    <n v="5"/>
    <n v="-2"/>
    <n v="0"/>
    <n v="46"/>
    <n v="0"/>
    <m/>
    <n v="0"/>
    <n v="1"/>
    <n v="1319"/>
    <n v="3"/>
    <x v="3"/>
    <n v="1"/>
    <n v="4"/>
    <n v="45"/>
    <n v="4"/>
    <n v="4"/>
    <n v="4"/>
    <n v="13225"/>
    <n v="7739"/>
    <n v="2"/>
    <n v="12"/>
    <n v="3"/>
    <n v="4"/>
    <n v="80"/>
    <n v="1"/>
    <n v="25"/>
    <n v="3"/>
    <n v="19"/>
    <n v="17"/>
    <n v="2"/>
    <n v="8"/>
  </r>
  <r>
    <s v="No"/>
    <s v="Travel_Rarely"/>
    <x v="1"/>
    <s v="Current Employees"/>
    <x v="0"/>
    <x v="0"/>
    <x v="1069"/>
    <x v="1069"/>
    <x v="0"/>
    <x v="0"/>
    <x v="2"/>
    <s v="No"/>
    <s v="Y"/>
    <n v="2"/>
    <n v="-2"/>
    <n v="0"/>
    <n v="48"/>
    <n v="0"/>
    <m/>
    <n v="0"/>
    <n v="1"/>
    <n v="492"/>
    <n v="16"/>
    <x v="2"/>
    <n v="1"/>
    <n v="3"/>
    <n v="96"/>
    <n v="3"/>
    <n v="2"/>
    <n v="3"/>
    <n v="6439"/>
    <n v="13693"/>
    <n v="8"/>
    <n v="14"/>
    <n v="3"/>
    <n v="3"/>
    <n v="80"/>
    <n v="1"/>
    <n v="18"/>
    <n v="3"/>
    <n v="8"/>
    <n v="7"/>
    <n v="7"/>
    <n v="7"/>
  </r>
  <r>
    <s v="No"/>
    <s v="Travel_Rarely"/>
    <x v="2"/>
    <s v="Current Employees"/>
    <x v="0"/>
    <x v="3"/>
    <x v="1070"/>
    <x v="1070"/>
    <x v="0"/>
    <x v="0"/>
    <x v="2"/>
    <s v="No"/>
    <s v="Y"/>
    <n v="3"/>
    <n v="-2"/>
    <n v="0"/>
    <n v="30"/>
    <n v="0"/>
    <m/>
    <n v="0"/>
    <n v="1"/>
    <n v="855"/>
    <n v="7"/>
    <x v="2"/>
    <n v="1"/>
    <n v="4"/>
    <n v="73"/>
    <n v="3"/>
    <n v="2"/>
    <n v="2"/>
    <n v="4779"/>
    <n v="12761"/>
    <n v="7"/>
    <n v="14"/>
    <n v="3"/>
    <n v="2"/>
    <n v="80"/>
    <n v="2"/>
    <n v="8"/>
    <n v="3"/>
    <n v="3"/>
    <n v="2"/>
    <n v="0"/>
    <n v="2"/>
  </r>
  <r>
    <s v="No"/>
    <s v="Travel_Rarely"/>
    <x v="1"/>
    <s v="Current Employees"/>
    <x v="0"/>
    <x v="0"/>
    <x v="1071"/>
    <x v="1071"/>
    <x v="0"/>
    <x v="5"/>
    <x v="2"/>
    <s v="No"/>
    <s v="Y"/>
    <n v="2"/>
    <n v="-2"/>
    <n v="0"/>
    <n v="47"/>
    <n v="0"/>
    <m/>
    <n v="0"/>
    <n v="1"/>
    <n v="1225"/>
    <n v="2"/>
    <x v="2"/>
    <n v="1"/>
    <n v="2"/>
    <n v="47"/>
    <n v="4"/>
    <n v="4"/>
    <n v="2"/>
    <n v="15972"/>
    <n v="21086"/>
    <n v="6"/>
    <n v="14"/>
    <n v="3"/>
    <n v="3"/>
    <n v="80"/>
    <n v="3"/>
    <n v="29"/>
    <n v="3"/>
    <n v="3"/>
    <n v="2"/>
    <n v="1"/>
    <n v="2"/>
  </r>
  <r>
    <s v="No"/>
    <s v="Travel_Rarely"/>
    <x v="0"/>
    <s v="Current Employees"/>
    <x v="0"/>
    <x v="0"/>
    <x v="1072"/>
    <x v="1072"/>
    <x v="0"/>
    <x v="0"/>
    <x v="1"/>
    <s v="No"/>
    <s v="Y"/>
    <n v="1"/>
    <n v="-2"/>
    <n v="0"/>
    <n v="38"/>
    <n v="0"/>
    <m/>
    <n v="0"/>
    <n v="1"/>
    <n v="345"/>
    <n v="10"/>
    <x v="0"/>
    <n v="1"/>
    <n v="1"/>
    <n v="100"/>
    <n v="3"/>
    <n v="2"/>
    <n v="4"/>
    <n v="5343"/>
    <n v="5982"/>
    <n v="1"/>
    <n v="11"/>
    <n v="3"/>
    <n v="3"/>
    <n v="80"/>
    <n v="1"/>
    <n v="10"/>
    <n v="3"/>
    <n v="10"/>
    <n v="7"/>
    <n v="1"/>
    <n v="9"/>
  </r>
  <r>
    <s v="No"/>
    <s v="Travel_Rarely"/>
    <x v="0"/>
    <s v="Current Employees"/>
    <x v="0"/>
    <x v="3"/>
    <x v="1073"/>
    <x v="1073"/>
    <x v="0"/>
    <x v="0"/>
    <x v="1"/>
    <s v="No"/>
    <s v="Y"/>
    <n v="2"/>
    <n v="-2"/>
    <n v="0"/>
    <n v="36"/>
    <n v="0"/>
    <m/>
    <n v="0"/>
    <n v="1"/>
    <n v="1120"/>
    <n v="11"/>
    <x v="2"/>
    <n v="1"/>
    <n v="2"/>
    <n v="100"/>
    <n v="2"/>
    <n v="2"/>
    <n v="2"/>
    <n v="6652"/>
    <n v="14369"/>
    <n v="4"/>
    <n v="13"/>
    <n v="3"/>
    <n v="1"/>
    <n v="80"/>
    <n v="1"/>
    <n v="8"/>
    <n v="2"/>
    <n v="6"/>
    <n v="3"/>
    <n v="0"/>
    <n v="0"/>
  </r>
  <r>
    <s v="No"/>
    <s v="Travel_Rarely"/>
    <x v="0"/>
    <s v="Current Employees"/>
    <x v="0"/>
    <x v="3"/>
    <x v="1074"/>
    <x v="1074"/>
    <x v="0"/>
    <x v="0"/>
    <x v="1"/>
    <s v="No"/>
    <s v="Y"/>
    <n v="2"/>
    <n v="-2"/>
    <n v="0"/>
    <n v="39"/>
    <n v="0"/>
    <m/>
    <n v="0"/>
    <n v="1"/>
    <n v="722"/>
    <n v="24"/>
    <x v="1"/>
    <n v="1"/>
    <n v="2"/>
    <n v="60"/>
    <n v="2"/>
    <n v="4"/>
    <n v="2"/>
    <n v="12031"/>
    <n v="8828"/>
    <n v="0"/>
    <n v="11"/>
    <n v="3"/>
    <n v="1"/>
    <n v="80"/>
    <n v="1"/>
    <n v="21"/>
    <n v="2"/>
    <n v="20"/>
    <n v="9"/>
    <n v="9"/>
    <n v="6"/>
  </r>
  <r>
    <s v="No"/>
    <s v="Travel_Rarely"/>
    <x v="0"/>
    <s v="Current Employees"/>
    <x v="0"/>
    <x v="3"/>
    <x v="1075"/>
    <x v="1075"/>
    <x v="0"/>
    <x v="0"/>
    <x v="1"/>
    <s v="No"/>
    <s v="Y"/>
    <n v="4"/>
    <n v="-2"/>
    <n v="0"/>
    <n v="40"/>
    <n v="0"/>
    <m/>
    <n v="0"/>
    <n v="1"/>
    <n v="444"/>
    <n v="2"/>
    <x v="0"/>
    <n v="1"/>
    <n v="2"/>
    <n v="92"/>
    <n v="3"/>
    <n v="2"/>
    <n v="2"/>
    <n v="5677"/>
    <n v="4258"/>
    <n v="3"/>
    <n v="14"/>
    <n v="3"/>
    <n v="3"/>
    <n v="80"/>
    <n v="1"/>
    <n v="15"/>
    <n v="3"/>
    <n v="11"/>
    <n v="8"/>
    <n v="5"/>
    <n v="10"/>
  </r>
  <r>
    <s v="No"/>
    <s v="Travel_Rarely"/>
    <x v="2"/>
    <s v="Current Employees"/>
    <x v="0"/>
    <x v="2"/>
    <x v="1076"/>
    <x v="1076"/>
    <x v="0"/>
    <x v="6"/>
    <x v="1"/>
    <s v="No"/>
    <s v="Y"/>
    <n v="3"/>
    <n v="-2"/>
    <n v="0"/>
    <n v="28"/>
    <n v="0"/>
    <m/>
    <n v="0"/>
    <n v="1"/>
    <n v="1172"/>
    <n v="3"/>
    <x v="3"/>
    <n v="1"/>
    <n v="2"/>
    <n v="78"/>
    <n v="3"/>
    <n v="1"/>
    <n v="2"/>
    <n v="2856"/>
    <n v="3692"/>
    <n v="1"/>
    <n v="19"/>
    <n v="3"/>
    <n v="4"/>
    <n v="80"/>
    <n v="1"/>
    <n v="1"/>
    <n v="3"/>
    <n v="1"/>
    <n v="0"/>
    <n v="0"/>
    <n v="0"/>
  </r>
  <r>
    <s v="No"/>
    <s v="Travel_Rarely"/>
    <x v="1"/>
    <s v="Current Employees"/>
    <x v="0"/>
    <x v="0"/>
    <x v="1077"/>
    <x v="1077"/>
    <x v="0"/>
    <x v="5"/>
    <x v="1"/>
    <s v="No"/>
    <s v="Y"/>
    <n v="2"/>
    <n v="-2"/>
    <n v="0"/>
    <n v="46"/>
    <n v="0"/>
    <m/>
    <n v="0"/>
    <n v="1"/>
    <n v="228"/>
    <n v="3"/>
    <x v="3"/>
    <n v="1"/>
    <n v="3"/>
    <n v="51"/>
    <n v="3"/>
    <n v="4"/>
    <n v="2"/>
    <n v="16606"/>
    <n v="11380"/>
    <n v="8"/>
    <n v="12"/>
    <n v="3"/>
    <n v="4"/>
    <n v="80"/>
    <n v="1"/>
    <n v="23"/>
    <n v="4"/>
    <n v="13"/>
    <n v="12"/>
    <n v="5"/>
    <n v="1"/>
  </r>
  <r>
    <s v="No"/>
    <s v="Travel_Rarely"/>
    <x v="3"/>
    <s v="Current Employees"/>
    <x v="0"/>
    <x v="3"/>
    <x v="1078"/>
    <x v="1078"/>
    <x v="0"/>
    <x v="0"/>
    <x v="1"/>
    <s v="No"/>
    <s v="Y"/>
    <n v="3"/>
    <n v="-2"/>
    <n v="0"/>
    <n v="56"/>
    <n v="0"/>
    <m/>
    <n v="0"/>
    <n v="1"/>
    <n v="1443"/>
    <n v="11"/>
    <x v="4"/>
    <n v="1"/>
    <n v="4"/>
    <n v="89"/>
    <n v="2"/>
    <n v="2"/>
    <n v="2"/>
    <n v="5380"/>
    <n v="20328"/>
    <n v="4"/>
    <n v="16"/>
    <n v="3"/>
    <n v="3"/>
    <n v="80"/>
    <n v="1"/>
    <n v="6"/>
    <n v="3"/>
    <n v="0"/>
    <n v="0"/>
    <n v="0"/>
    <n v="0"/>
  </r>
  <r>
    <s v="No"/>
    <s v="Travel_Rarely"/>
    <x v="0"/>
    <s v="Current Employees"/>
    <x v="0"/>
    <x v="0"/>
    <x v="1079"/>
    <x v="1079"/>
    <x v="0"/>
    <x v="0"/>
    <x v="1"/>
    <s v="No"/>
    <s v="Y"/>
    <n v="2"/>
    <n v="-2"/>
    <n v="0"/>
    <n v="40"/>
    <n v="0"/>
    <m/>
    <n v="0"/>
    <n v="1"/>
    <n v="118"/>
    <n v="14"/>
    <x v="0"/>
    <n v="1"/>
    <n v="4"/>
    <n v="84"/>
    <n v="3"/>
    <n v="2"/>
    <n v="3"/>
    <n v="4639"/>
    <n v="11262"/>
    <n v="1"/>
    <n v="15"/>
    <n v="3"/>
    <n v="3"/>
    <n v="80"/>
    <n v="1"/>
    <n v="5"/>
    <n v="3"/>
    <n v="5"/>
    <n v="4"/>
    <n v="1"/>
    <n v="2"/>
  </r>
  <r>
    <s v="No"/>
    <s v="Travel_Rarely"/>
    <x v="2"/>
    <s v="Current Employees"/>
    <x v="0"/>
    <x v="3"/>
    <x v="1080"/>
    <x v="1080"/>
    <x v="0"/>
    <x v="0"/>
    <x v="1"/>
    <s v="No"/>
    <s v="Y"/>
    <n v="3"/>
    <n v="-2"/>
    <n v="0"/>
    <n v="31"/>
    <n v="0"/>
    <m/>
    <n v="0"/>
    <n v="1"/>
    <n v="196"/>
    <n v="29"/>
    <x v="2"/>
    <n v="1"/>
    <n v="1"/>
    <n v="91"/>
    <n v="2"/>
    <n v="2"/>
    <n v="2"/>
    <n v="5468"/>
    <n v="13402"/>
    <n v="1"/>
    <n v="14"/>
    <n v="3"/>
    <n v="1"/>
    <n v="80"/>
    <n v="2"/>
    <n v="13"/>
    <n v="3"/>
    <n v="12"/>
    <n v="7"/>
    <n v="5"/>
    <n v="7"/>
  </r>
  <r>
    <s v="No"/>
    <s v="Travel_Rarely"/>
    <x v="0"/>
    <s v="Current Employees"/>
    <x v="0"/>
    <x v="2"/>
    <x v="1081"/>
    <x v="1081"/>
    <x v="0"/>
    <x v="0"/>
    <x v="1"/>
    <s v="No"/>
    <s v="Y"/>
    <n v="2"/>
    <n v="-2"/>
    <n v="0"/>
    <n v="36"/>
    <n v="0"/>
    <m/>
    <n v="0"/>
    <n v="1"/>
    <n v="557"/>
    <n v="3"/>
    <x v="3"/>
    <n v="1"/>
    <n v="1"/>
    <n v="94"/>
    <n v="2"/>
    <n v="3"/>
    <n v="4"/>
    <n v="7644"/>
    <n v="12695"/>
    <n v="0"/>
    <n v="19"/>
    <n v="3"/>
    <n v="3"/>
    <n v="80"/>
    <n v="2"/>
    <n v="10"/>
    <n v="3"/>
    <n v="9"/>
    <n v="7"/>
    <n v="3"/>
    <n v="4"/>
  </r>
  <r>
    <s v="No"/>
    <s v="Travel_Rarely"/>
    <x v="2"/>
    <s v="Current Employees"/>
    <x v="0"/>
    <x v="0"/>
    <x v="1082"/>
    <x v="1082"/>
    <x v="0"/>
    <x v="0"/>
    <x v="1"/>
    <s v="No"/>
    <s v="Y"/>
    <n v="2"/>
    <n v="-2"/>
    <n v="0"/>
    <n v="31"/>
    <n v="0"/>
    <m/>
    <n v="0"/>
    <n v="1"/>
    <n v="1112"/>
    <n v="5"/>
    <x v="2"/>
    <n v="1"/>
    <n v="1"/>
    <n v="67"/>
    <n v="3"/>
    <n v="2"/>
    <n v="4"/>
    <n v="5476"/>
    <n v="22589"/>
    <n v="1"/>
    <n v="11"/>
    <n v="3"/>
    <n v="1"/>
    <n v="80"/>
    <n v="2"/>
    <n v="10"/>
    <n v="3"/>
    <n v="10"/>
    <n v="0"/>
    <n v="0"/>
    <n v="2"/>
  </r>
  <r>
    <s v="No"/>
    <s v="Travel_Rarely"/>
    <x v="0"/>
    <s v="Current Employees"/>
    <x v="0"/>
    <x v="3"/>
    <x v="1083"/>
    <x v="1083"/>
    <x v="0"/>
    <x v="0"/>
    <x v="1"/>
    <s v="No"/>
    <s v="Y"/>
    <n v="3"/>
    <n v="-2"/>
    <n v="0"/>
    <n v="36"/>
    <n v="0"/>
    <m/>
    <n v="0"/>
    <n v="1"/>
    <n v="329"/>
    <n v="16"/>
    <x v="2"/>
    <n v="1"/>
    <n v="3"/>
    <n v="98"/>
    <n v="2"/>
    <n v="2"/>
    <n v="2"/>
    <n v="5647"/>
    <n v="13494"/>
    <n v="4"/>
    <n v="13"/>
    <n v="3"/>
    <n v="1"/>
    <n v="80"/>
    <n v="2"/>
    <n v="11"/>
    <n v="2"/>
    <n v="3"/>
    <n v="2"/>
    <n v="0"/>
    <n v="2"/>
  </r>
  <r>
    <s v="No"/>
    <s v="Travel_Rarely"/>
    <x v="2"/>
    <s v="Current Employees"/>
    <x v="0"/>
    <x v="3"/>
    <x v="1084"/>
    <x v="1084"/>
    <x v="0"/>
    <x v="0"/>
    <x v="1"/>
    <s v="No"/>
    <s v="Y"/>
    <n v="3"/>
    <n v="-2"/>
    <n v="0"/>
    <n v="32"/>
    <n v="0"/>
    <m/>
    <n v="0"/>
    <n v="1"/>
    <n v="801"/>
    <n v="1"/>
    <x v="2"/>
    <n v="1"/>
    <n v="3"/>
    <n v="48"/>
    <n v="3"/>
    <n v="3"/>
    <n v="2"/>
    <n v="10422"/>
    <n v="24032"/>
    <n v="1"/>
    <n v="19"/>
    <n v="3"/>
    <n v="3"/>
    <n v="80"/>
    <n v="2"/>
    <n v="14"/>
    <n v="3"/>
    <n v="14"/>
    <n v="10"/>
    <n v="5"/>
    <n v="7"/>
  </r>
  <r>
    <s v="No"/>
    <s v="Travel_Rarely"/>
    <x v="2"/>
    <s v="Current Employees"/>
    <x v="0"/>
    <x v="2"/>
    <x v="1085"/>
    <x v="1085"/>
    <x v="0"/>
    <x v="0"/>
    <x v="0"/>
    <s v="No"/>
    <s v="Y"/>
    <n v="5"/>
    <n v="-2"/>
    <n v="0"/>
    <n v="27"/>
    <n v="0"/>
    <m/>
    <n v="0"/>
    <n v="1"/>
    <n v="511"/>
    <n v="2"/>
    <x v="0"/>
    <n v="1"/>
    <n v="1"/>
    <n v="89"/>
    <n v="4"/>
    <n v="2"/>
    <n v="3"/>
    <n v="6500"/>
    <n v="26997"/>
    <n v="0"/>
    <n v="14"/>
    <n v="3"/>
    <n v="2"/>
    <n v="80"/>
    <n v="0"/>
    <n v="9"/>
    <n v="2"/>
    <n v="8"/>
    <n v="7"/>
    <n v="0"/>
    <n v="7"/>
  </r>
  <r>
    <s v="No"/>
    <s v="Travel_Rarely"/>
    <x v="0"/>
    <s v="Current Employees"/>
    <x v="0"/>
    <x v="0"/>
    <x v="1086"/>
    <x v="1086"/>
    <x v="0"/>
    <x v="0"/>
    <x v="0"/>
    <s v="No"/>
    <s v="Y"/>
    <n v="5"/>
    <n v="-2"/>
    <n v="0"/>
    <n v="38"/>
    <n v="0"/>
    <m/>
    <n v="0"/>
    <n v="1"/>
    <n v="437"/>
    <n v="16"/>
    <x v="3"/>
    <n v="1"/>
    <n v="2"/>
    <n v="90"/>
    <n v="3"/>
    <n v="2"/>
    <n v="2"/>
    <n v="4198"/>
    <n v="16379"/>
    <n v="2"/>
    <n v="12"/>
    <n v="3"/>
    <n v="2"/>
    <n v="80"/>
    <n v="0"/>
    <n v="8"/>
    <n v="4"/>
    <n v="3"/>
    <n v="2"/>
    <n v="1"/>
    <n v="2"/>
  </r>
  <r>
    <s v="No"/>
    <s v="Travel_Rarely"/>
    <x v="0"/>
    <s v="Current Employees"/>
    <x v="0"/>
    <x v="0"/>
    <x v="1087"/>
    <x v="1087"/>
    <x v="0"/>
    <x v="0"/>
    <x v="0"/>
    <s v="No"/>
    <s v="Y"/>
    <n v="5"/>
    <n v="-2"/>
    <n v="0"/>
    <n v="36"/>
    <n v="0"/>
    <m/>
    <n v="0"/>
    <n v="1"/>
    <n v="884"/>
    <n v="1"/>
    <x v="2"/>
    <n v="1"/>
    <n v="2"/>
    <n v="73"/>
    <n v="3"/>
    <n v="2"/>
    <n v="3"/>
    <n v="6815"/>
    <n v="21447"/>
    <n v="6"/>
    <n v="13"/>
    <n v="3"/>
    <n v="1"/>
    <n v="80"/>
    <n v="0"/>
    <n v="15"/>
    <n v="3"/>
    <n v="1"/>
    <n v="0"/>
    <n v="0"/>
    <n v="0"/>
  </r>
  <r>
    <s v="No"/>
    <s v="Travel_Rarely"/>
    <x v="4"/>
    <s v="Current Employees"/>
    <x v="0"/>
    <x v="2"/>
    <x v="1088"/>
    <x v="1088"/>
    <x v="0"/>
    <x v="6"/>
    <x v="0"/>
    <s v="No"/>
    <s v="Y"/>
    <n v="3"/>
    <n v="-2"/>
    <n v="0"/>
    <n v="20"/>
    <n v="0"/>
    <m/>
    <n v="0"/>
    <n v="1"/>
    <n v="1141"/>
    <n v="2"/>
    <x v="3"/>
    <n v="1"/>
    <n v="3"/>
    <n v="31"/>
    <n v="3"/>
    <n v="1"/>
    <n v="3"/>
    <n v="2783"/>
    <n v="13251"/>
    <n v="1"/>
    <n v="19"/>
    <n v="3"/>
    <n v="1"/>
    <n v="80"/>
    <n v="0"/>
    <n v="2"/>
    <n v="3"/>
    <n v="2"/>
    <n v="2"/>
    <n v="2"/>
    <n v="2"/>
  </r>
  <r>
    <s v="No"/>
    <s v="Travel_Rarely"/>
    <x v="0"/>
    <s v="Current Employees"/>
    <x v="0"/>
    <x v="0"/>
    <x v="1089"/>
    <x v="1089"/>
    <x v="0"/>
    <x v="6"/>
    <x v="0"/>
    <s v="No"/>
    <s v="Y"/>
    <n v="2"/>
    <n v="-2"/>
    <n v="0"/>
    <n v="36"/>
    <n v="0"/>
    <m/>
    <n v="0"/>
    <n v="1"/>
    <n v="530"/>
    <n v="2"/>
    <x v="2"/>
    <n v="1"/>
    <n v="3"/>
    <n v="51"/>
    <n v="3"/>
    <n v="2"/>
    <n v="4"/>
    <n v="4502"/>
    <n v="7439"/>
    <n v="3"/>
    <n v="15"/>
    <n v="3"/>
    <n v="3"/>
    <n v="80"/>
    <n v="0"/>
    <n v="17"/>
    <n v="2"/>
    <n v="13"/>
    <n v="7"/>
    <n v="6"/>
    <n v="7"/>
  </r>
  <r>
    <s v="No"/>
    <s v="Travel_Rarely"/>
    <x v="2"/>
    <s v="Current Employees"/>
    <x v="0"/>
    <x v="0"/>
    <x v="1090"/>
    <x v="1090"/>
    <x v="0"/>
    <x v="0"/>
    <x v="0"/>
    <s v="No"/>
    <s v="Y"/>
    <n v="3"/>
    <n v="-2"/>
    <n v="0"/>
    <n v="34"/>
    <n v="0"/>
    <m/>
    <n v="0"/>
    <n v="1"/>
    <n v="511"/>
    <n v="3"/>
    <x v="0"/>
    <n v="1"/>
    <n v="4"/>
    <n v="32"/>
    <n v="1"/>
    <n v="2"/>
    <n v="4"/>
    <n v="6029"/>
    <n v="25353"/>
    <n v="5"/>
    <n v="12"/>
    <n v="3"/>
    <n v="1"/>
    <n v="80"/>
    <n v="0"/>
    <n v="6"/>
    <n v="3"/>
    <n v="2"/>
    <n v="2"/>
    <n v="2"/>
    <n v="2"/>
  </r>
  <r>
    <s v="No"/>
    <s v="Travel_Rarely"/>
    <x v="2"/>
    <s v="Current Employees"/>
    <x v="0"/>
    <x v="1"/>
    <x v="1091"/>
    <x v="1091"/>
    <x v="0"/>
    <x v="6"/>
    <x v="0"/>
    <s v="No"/>
    <s v="Y"/>
    <n v="2"/>
    <n v="-2"/>
    <n v="0"/>
    <n v="26"/>
    <n v="0"/>
    <m/>
    <n v="0"/>
    <n v="1"/>
    <n v="1167"/>
    <n v="5"/>
    <x v="3"/>
    <n v="1"/>
    <n v="4"/>
    <n v="30"/>
    <n v="2"/>
    <n v="1"/>
    <n v="3"/>
    <n v="2966"/>
    <n v="21378"/>
    <n v="0"/>
    <n v="18"/>
    <n v="3"/>
    <n v="4"/>
    <n v="80"/>
    <n v="0"/>
    <n v="5"/>
    <n v="3"/>
    <n v="4"/>
    <n v="2"/>
    <n v="0"/>
    <n v="0"/>
  </r>
  <r>
    <s v="No"/>
    <s v="Travel_Rarely"/>
    <x v="1"/>
    <s v="Current Employees"/>
    <x v="0"/>
    <x v="0"/>
    <x v="1092"/>
    <x v="1092"/>
    <x v="0"/>
    <x v="0"/>
    <x v="0"/>
    <s v="No"/>
    <s v="Y"/>
    <n v="3"/>
    <n v="-2"/>
    <n v="0"/>
    <n v="45"/>
    <n v="0"/>
    <m/>
    <n v="0"/>
    <n v="1"/>
    <n v="374"/>
    <n v="20"/>
    <x v="3"/>
    <n v="1"/>
    <n v="4"/>
    <n v="50"/>
    <n v="3"/>
    <n v="2"/>
    <n v="3"/>
    <n v="4850"/>
    <n v="23333"/>
    <n v="8"/>
    <n v="15"/>
    <n v="3"/>
    <n v="3"/>
    <n v="80"/>
    <n v="0"/>
    <n v="8"/>
    <n v="3"/>
    <n v="5"/>
    <n v="3"/>
    <n v="0"/>
    <n v="1"/>
  </r>
  <r>
    <s v="No"/>
    <s v="Travel_Rarely"/>
    <x v="1"/>
    <s v="Current Employees"/>
    <x v="0"/>
    <x v="3"/>
    <x v="1093"/>
    <x v="1093"/>
    <x v="0"/>
    <x v="0"/>
    <x v="0"/>
    <s v="No"/>
    <s v="Y"/>
    <n v="1"/>
    <n v="-2"/>
    <n v="0"/>
    <n v="49"/>
    <n v="0"/>
    <m/>
    <n v="0"/>
    <n v="1"/>
    <n v="1313"/>
    <n v="11"/>
    <x v="2"/>
    <n v="1"/>
    <n v="4"/>
    <n v="80"/>
    <n v="3"/>
    <n v="2"/>
    <n v="2"/>
    <n v="4507"/>
    <n v="8191"/>
    <n v="3"/>
    <n v="12"/>
    <n v="3"/>
    <n v="3"/>
    <n v="80"/>
    <n v="0"/>
    <n v="8"/>
    <n v="4"/>
    <n v="5"/>
    <n v="1"/>
    <n v="0"/>
    <n v="4"/>
  </r>
  <r>
    <s v="No"/>
    <s v="Non-Travel"/>
    <x v="2"/>
    <s v="Current Employees"/>
    <x v="2"/>
    <x v="0"/>
    <x v="1094"/>
    <x v="1094"/>
    <x v="1"/>
    <x v="8"/>
    <x v="2"/>
    <s v="No"/>
    <s v="Y"/>
    <n v="2"/>
    <n v="-2"/>
    <n v="0"/>
    <n v="28"/>
    <n v="0"/>
    <m/>
    <n v="0"/>
    <n v="1"/>
    <n v="280"/>
    <n v="1"/>
    <x v="0"/>
    <n v="1"/>
    <n v="3"/>
    <n v="43"/>
    <n v="3"/>
    <n v="1"/>
    <n v="4"/>
    <n v="2706"/>
    <n v="10494"/>
    <n v="1"/>
    <n v="15"/>
    <n v="3"/>
    <n v="2"/>
    <n v="80"/>
    <n v="1"/>
    <n v="3"/>
    <n v="3"/>
    <n v="3"/>
    <n v="2"/>
    <n v="2"/>
    <n v="2"/>
  </r>
  <r>
    <s v="No"/>
    <s v="Non-Travel"/>
    <x v="0"/>
    <s v="Current Employees"/>
    <x v="2"/>
    <x v="5"/>
    <x v="1095"/>
    <x v="1095"/>
    <x v="1"/>
    <x v="8"/>
    <x v="2"/>
    <s v="No"/>
    <s v="Y"/>
    <n v="3"/>
    <n v="-2"/>
    <n v="0"/>
    <n v="38"/>
    <n v="0"/>
    <m/>
    <n v="0"/>
    <n v="1"/>
    <n v="1336"/>
    <n v="2"/>
    <x v="3"/>
    <n v="1"/>
    <n v="1"/>
    <n v="100"/>
    <n v="3"/>
    <n v="1"/>
    <n v="2"/>
    <n v="2592"/>
    <n v="7129"/>
    <n v="5"/>
    <n v="13"/>
    <n v="3"/>
    <n v="4"/>
    <n v="80"/>
    <n v="3"/>
    <n v="13"/>
    <n v="3"/>
    <n v="11"/>
    <n v="10"/>
    <n v="3"/>
    <n v="8"/>
  </r>
  <r>
    <s v="No"/>
    <s v="Non-Travel"/>
    <x v="0"/>
    <s v="Current Employees"/>
    <x v="2"/>
    <x v="5"/>
    <x v="1096"/>
    <x v="1096"/>
    <x v="1"/>
    <x v="8"/>
    <x v="1"/>
    <s v="No"/>
    <s v="Y"/>
    <n v="4"/>
    <n v="-2"/>
    <n v="0"/>
    <n v="41"/>
    <n v="0"/>
    <m/>
    <n v="0"/>
    <n v="1"/>
    <n v="552"/>
    <n v="4"/>
    <x v="3"/>
    <n v="1"/>
    <n v="3"/>
    <n v="60"/>
    <n v="1"/>
    <n v="2"/>
    <n v="2"/>
    <n v="6430"/>
    <n v="20794"/>
    <n v="6"/>
    <n v="19"/>
    <n v="3"/>
    <n v="2"/>
    <n v="80"/>
    <n v="1"/>
    <n v="10"/>
    <n v="3"/>
    <n v="3"/>
    <n v="2"/>
    <n v="1"/>
    <n v="2"/>
  </r>
  <r>
    <s v="No"/>
    <s v="Non-Travel"/>
    <x v="0"/>
    <s v="Current Employees"/>
    <x v="1"/>
    <x v="2"/>
    <x v="1097"/>
    <x v="1097"/>
    <x v="1"/>
    <x v="3"/>
    <x v="2"/>
    <s v="No"/>
    <s v="Y"/>
    <n v="6"/>
    <n v="-2"/>
    <n v="0"/>
    <n v="35"/>
    <n v="0"/>
    <m/>
    <n v="0"/>
    <n v="1"/>
    <n v="1180"/>
    <n v="2"/>
    <x v="0"/>
    <n v="1"/>
    <n v="2"/>
    <n v="90"/>
    <n v="3"/>
    <n v="2"/>
    <n v="4"/>
    <n v="5762"/>
    <n v="24442"/>
    <n v="2"/>
    <n v="14"/>
    <n v="3"/>
    <n v="3"/>
    <n v="80"/>
    <n v="1"/>
    <n v="15"/>
    <n v="3"/>
    <n v="7"/>
    <n v="7"/>
    <n v="1"/>
    <n v="7"/>
  </r>
  <r>
    <s v="No"/>
    <s v="Non-Travel"/>
    <x v="0"/>
    <s v="Current Employees"/>
    <x v="1"/>
    <x v="2"/>
    <x v="1098"/>
    <x v="1098"/>
    <x v="1"/>
    <x v="7"/>
    <x v="2"/>
    <s v="No"/>
    <s v="Y"/>
    <n v="5"/>
    <n v="-2"/>
    <n v="0"/>
    <n v="40"/>
    <n v="0"/>
    <m/>
    <n v="0"/>
    <n v="1"/>
    <n v="218"/>
    <n v="8"/>
    <x v="1"/>
    <n v="1"/>
    <n v="4"/>
    <n v="55"/>
    <n v="2"/>
    <n v="3"/>
    <n v="2"/>
    <n v="13757"/>
    <n v="25178"/>
    <n v="2"/>
    <n v="11"/>
    <n v="3"/>
    <n v="3"/>
    <n v="80"/>
    <n v="1"/>
    <n v="16"/>
    <n v="3"/>
    <n v="9"/>
    <n v="8"/>
    <n v="4"/>
    <n v="8"/>
  </r>
  <r>
    <s v="No"/>
    <s v="Non-Travel"/>
    <x v="2"/>
    <s v="Current Employees"/>
    <x v="1"/>
    <x v="4"/>
    <x v="1099"/>
    <x v="1099"/>
    <x v="1"/>
    <x v="1"/>
    <x v="2"/>
    <s v="No"/>
    <s v="Y"/>
    <n v="2"/>
    <n v="-2"/>
    <n v="0"/>
    <n v="30"/>
    <n v="0"/>
    <m/>
    <n v="0"/>
    <n v="1"/>
    <n v="990"/>
    <n v="7"/>
    <x v="3"/>
    <n v="1"/>
    <n v="4"/>
    <n v="64"/>
    <n v="3"/>
    <n v="1"/>
    <n v="4"/>
    <n v="1274"/>
    <n v="7152"/>
    <n v="1"/>
    <n v="13"/>
    <n v="3"/>
    <n v="2"/>
    <n v="80"/>
    <n v="2"/>
    <n v="1"/>
    <n v="2"/>
    <n v="1"/>
    <n v="0"/>
    <n v="0"/>
    <n v="0"/>
  </r>
  <r>
    <s v="No"/>
    <s v="Non-Travel"/>
    <x v="0"/>
    <s v="Current Employees"/>
    <x v="1"/>
    <x v="1"/>
    <x v="1100"/>
    <x v="1100"/>
    <x v="1"/>
    <x v="2"/>
    <x v="2"/>
    <s v="No"/>
    <s v="Y"/>
    <n v="2"/>
    <n v="-2"/>
    <n v="0"/>
    <n v="40"/>
    <n v="0"/>
    <m/>
    <n v="0"/>
    <n v="1"/>
    <n v="663"/>
    <n v="9"/>
    <x v="2"/>
    <n v="1"/>
    <n v="3"/>
    <n v="81"/>
    <n v="3"/>
    <n v="2"/>
    <n v="3"/>
    <n v="3975"/>
    <n v="23099"/>
    <n v="3"/>
    <n v="11"/>
    <n v="3"/>
    <n v="3"/>
    <n v="80"/>
    <n v="2"/>
    <n v="11"/>
    <n v="4"/>
    <n v="8"/>
    <n v="7"/>
    <n v="0"/>
    <n v="7"/>
  </r>
  <r>
    <s v="No"/>
    <s v="Non-Travel"/>
    <x v="2"/>
    <s v="Current Employees"/>
    <x v="1"/>
    <x v="4"/>
    <x v="1101"/>
    <x v="1101"/>
    <x v="1"/>
    <x v="1"/>
    <x v="2"/>
    <s v="No"/>
    <s v="Y"/>
    <n v="2"/>
    <n v="-2"/>
    <n v="0"/>
    <n v="33"/>
    <n v="0"/>
    <m/>
    <n v="0"/>
    <n v="1"/>
    <n v="775"/>
    <n v="4"/>
    <x v="3"/>
    <n v="1"/>
    <n v="4"/>
    <n v="90"/>
    <n v="3"/>
    <n v="2"/>
    <n v="4"/>
    <n v="3055"/>
    <n v="6194"/>
    <n v="5"/>
    <n v="15"/>
    <n v="3"/>
    <n v="4"/>
    <n v="80"/>
    <n v="2"/>
    <n v="11"/>
    <n v="2"/>
    <n v="9"/>
    <n v="8"/>
    <n v="1"/>
    <n v="7"/>
  </r>
  <r>
    <s v="No"/>
    <s v="Non-Travel"/>
    <x v="2"/>
    <s v="Current Employees"/>
    <x v="1"/>
    <x v="2"/>
    <x v="1102"/>
    <x v="1102"/>
    <x v="1"/>
    <x v="2"/>
    <x v="2"/>
    <s v="No"/>
    <s v="Y"/>
    <n v="2"/>
    <n v="-2"/>
    <n v="0"/>
    <n v="33"/>
    <n v="0"/>
    <m/>
    <n v="0"/>
    <n v="1"/>
    <n v="1313"/>
    <n v="1"/>
    <x v="0"/>
    <n v="1"/>
    <n v="2"/>
    <n v="59"/>
    <n v="2"/>
    <n v="1"/>
    <n v="3"/>
    <n v="2008"/>
    <n v="20439"/>
    <n v="1"/>
    <n v="12"/>
    <n v="3"/>
    <n v="3"/>
    <n v="80"/>
    <n v="3"/>
    <n v="1"/>
    <n v="2"/>
    <n v="1"/>
    <n v="1"/>
    <n v="0"/>
    <n v="0"/>
  </r>
  <r>
    <s v="No"/>
    <s v="Non-Travel"/>
    <x v="1"/>
    <s v="Current Employees"/>
    <x v="1"/>
    <x v="4"/>
    <x v="1103"/>
    <x v="1103"/>
    <x v="1"/>
    <x v="1"/>
    <x v="1"/>
    <s v="No"/>
    <s v="Y"/>
    <n v="4"/>
    <n v="-2"/>
    <n v="0"/>
    <n v="47"/>
    <n v="0"/>
    <m/>
    <n v="0"/>
    <n v="1"/>
    <n v="1169"/>
    <n v="14"/>
    <x v="2"/>
    <n v="1"/>
    <n v="4"/>
    <n v="64"/>
    <n v="3"/>
    <n v="2"/>
    <n v="4"/>
    <n v="5467"/>
    <n v="2125"/>
    <n v="8"/>
    <n v="18"/>
    <n v="3"/>
    <n v="3"/>
    <n v="80"/>
    <n v="1"/>
    <n v="16"/>
    <n v="4"/>
    <n v="8"/>
    <n v="7"/>
    <n v="1"/>
    <n v="7"/>
  </r>
  <r>
    <s v="No"/>
    <s v="Non-Travel"/>
    <x v="2"/>
    <s v="Current Employees"/>
    <x v="1"/>
    <x v="4"/>
    <x v="1104"/>
    <x v="1104"/>
    <x v="1"/>
    <x v="1"/>
    <x v="1"/>
    <s v="No"/>
    <s v="Y"/>
    <n v="3"/>
    <n v="-2"/>
    <n v="0"/>
    <n v="32"/>
    <n v="0"/>
    <m/>
    <n v="0"/>
    <n v="1"/>
    <n v="1200"/>
    <n v="1"/>
    <x v="2"/>
    <n v="1"/>
    <n v="4"/>
    <n v="62"/>
    <n v="3"/>
    <n v="2"/>
    <n v="4"/>
    <n v="4087"/>
    <n v="25174"/>
    <n v="4"/>
    <n v="14"/>
    <n v="3"/>
    <n v="2"/>
    <n v="80"/>
    <n v="1"/>
    <n v="9"/>
    <n v="2"/>
    <n v="6"/>
    <n v="5"/>
    <n v="1"/>
    <n v="2"/>
  </r>
  <r>
    <s v="No"/>
    <s v="Non-Travel"/>
    <x v="0"/>
    <s v="Current Employees"/>
    <x v="1"/>
    <x v="0"/>
    <x v="1105"/>
    <x v="1105"/>
    <x v="1"/>
    <x v="1"/>
    <x v="0"/>
    <s v="No"/>
    <s v="Y"/>
    <n v="2"/>
    <n v="-2"/>
    <n v="0"/>
    <n v="43"/>
    <n v="0"/>
    <m/>
    <n v="0"/>
    <n v="1"/>
    <n v="343"/>
    <n v="9"/>
    <x v="3"/>
    <n v="1"/>
    <n v="1"/>
    <n v="52"/>
    <n v="3"/>
    <n v="1"/>
    <n v="3"/>
    <n v="2438"/>
    <n v="24978"/>
    <n v="4"/>
    <n v="13"/>
    <n v="3"/>
    <n v="3"/>
    <n v="80"/>
    <n v="0"/>
    <n v="7"/>
    <n v="2"/>
    <n v="3"/>
    <n v="2"/>
    <n v="1"/>
    <n v="2"/>
  </r>
  <r>
    <s v="No"/>
    <s v="Non-Travel"/>
    <x v="2"/>
    <s v="Current Employees"/>
    <x v="1"/>
    <x v="2"/>
    <x v="1106"/>
    <x v="1106"/>
    <x v="1"/>
    <x v="3"/>
    <x v="0"/>
    <s v="No"/>
    <s v="Y"/>
    <n v="2"/>
    <n v="-2"/>
    <n v="0"/>
    <n v="31"/>
    <n v="0"/>
    <m/>
    <n v="0"/>
    <n v="1"/>
    <n v="325"/>
    <n v="5"/>
    <x v="3"/>
    <n v="1"/>
    <n v="2"/>
    <n v="74"/>
    <n v="3"/>
    <n v="2"/>
    <n v="3"/>
    <n v="9936"/>
    <n v="3787"/>
    <n v="0"/>
    <n v="19"/>
    <n v="3"/>
    <n v="2"/>
    <n v="80"/>
    <n v="0"/>
    <n v="10"/>
    <n v="3"/>
    <n v="9"/>
    <n v="4"/>
    <n v="1"/>
    <n v="7"/>
  </r>
  <r>
    <s v="No"/>
    <s v="Non-Travel"/>
    <x v="2"/>
    <s v="Current Employees"/>
    <x v="1"/>
    <x v="4"/>
    <x v="1107"/>
    <x v="1107"/>
    <x v="1"/>
    <x v="1"/>
    <x v="0"/>
    <s v="No"/>
    <s v="Y"/>
    <n v="3"/>
    <n v="-2"/>
    <n v="0"/>
    <n v="32"/>
    <n v="0"/>
    <m/>
    <n v="0"/>
    <n v="1"/>
    <n v="953"/>
    <n v="5"/>
    <x v="2"/>
    <n v="1"/>
    <n v="4"/>
    <n v="65"/>
    <n v="3"/>
    <n v="1"/>
    <n v="4"/>
    <n v="2718"/>
    <n v="17674"/>
    <n v="2"/>
    <n v="14"/>
    <n v="3"/>
    <n v="2"/>
    <n v="80"/>
    <n v="0"/>
    <n v="12"/>
    <n v="3"/>
    <n v="7"/>
    <n v="7"/>
    <n v="0"/>
    <n v="7"/>
  </r>
  <r>
    <s v="No"/>
    <s v="Non-Travel"/>
    <x v="0"/>
    <s v="Current Employees"/>
    <x v="1"/>
    <x v="0"/>
    <x v="1108"/>
    <x v="1108"/>
    <x v="1"/>
    <x v="2"/>
    <x v="0"/>
    <s v="No"/>
    <s v="Y"/>
    <n v="5"/>
    <n v="-2"/>
    <n v="0"/>
    <n v="44"/>
    <n v="0"/>
    <m/>
    <n v="0"/>
    <n v="1"/>
    <n v="981"/>
    <n v="5"/>
    <x v="3"/>
    <n v="1"/>
    <n v="3"/>
    <n v="90"/>
    <n v="2"/>
    <n v="1"/>
    <n v="3"/>
    <n v="3162"/>
    <n v="7973"/>
    <n v="3"/>
    <n v="14"/>
    <n v="3"/>
    <n v="4"/>
    <n v="80"/>
    <n v="0"/>
    <n v="7"/>
    <n v="3"/>
    <n v="5"/>
    <n v="2"/>
    <n v="0"/>
    <n v="3"/>
  </r>
  <r>
    <s v="No"/>
    <s v="Non-Travel"/>
    <x v="2"/>
    <s v="Current Employees"/>
    <x v="1"/>
    <x v="2"/>
    <x v="1109"/>
    <x v="1109"/>
    <x v="1"/>
    <x v="1"/>
    <x v="0"/>
    <s v="No"/>
    <s v="Y"/>
    <n v="3"/>
    <n v="-2"/>
    <n v="0"/>
    <n v="28"/>
    <n v="0"/>
    <m/>
    <n v="0"/>
    <n v="1"/>
    <n v="1103"/>
    <n v="16"/>
    <x v="3"/>
    <n v="1"/>
    <n v="3"/>
    <n v="49"/>
    <n v="3"/>
    <n v="1"/>
    <n v="3"/>
    <n v="2144"/>
    <n v="2122"/>
    <n v="1"/>
    <n v="14"/>
    <n v="3"/>
    <n v="3"/>
    <n v="80"/>
    <n v="0"/>
    <n v="5"/>
    <n v="2"/>
    <n v="5"/>
    <n v="3"/>
    <n v="1"/>
    <n v="4"/>
  </r>
  <r>
    <s v="No"/>
    <s v="Non-Travel"/>
    <x v="0"/>
    <s v="Current Employees"/>
    <x v="1"/>
    <x v="4"/>
    <x v="1110"/>
    <x v="1110"/>
    <x v="1"/>
    <x v="2"/>
    <x v="0"/>
    <s v="No"/>
    <s v="Y"/>
    <n v="2"/>
    <n v="-2"/>
    <n v="0"/>
    <n v="37"/>
    <n v="0"/>
    <m/>
    <n v="0"/>
    <n v="1"/>
    <n v="1413"/>
    <n v="5"/>
    <x v="0"/>
    <n v="1"/>
    <n v="4"/>
    <n v="84"/>
    <n v="4"/>
    <n v="1"/>
    <n v="4"/>
    <n v="3500"/>
    <n v="25470"/>
    <n v="0"/>
    <n v="14"/>
    <n v="3"/>
    <n v="1"/>
    <n v="80"/>
    <n v="0"/>
    <n v="7"/>
    <n v="1"/>
    <n v="6"/>
    <n v="5"/>
    <n v="1"/>
    <n v="3"/>
  </r>
  <r>
    <s v="No"/>
    <s v="Non-Travel"/>
    <x v="0"/>
    <s v="Current Employees"/>
    <x v="1"/>
    <x v="0"/>
    <x v="1111"/>
    <x v="1111"/>
    <x v="1"/>
    <x v="1"/>
    <x v="0"/>
    <s v="No"/>
    <s v="Y"/>
    <n v="2"/>
    <n v="-2"/>
    <n v="0"/>
    <n v="42"/>
    <n v="0"/>
    <m/>
    <n v="0"/>
    <n v="1"/>
    <n v="335"/>
    <n v="23"/>
    <x v="0"/>
    <n v="1"/>
    <n v="4"/>
    <n v="37"/>
    <n v="2"/>
    <n v="2"/>
    <n v="3"/>
    <n v="4332"/>
    <n v="14811"/>
    <n v="1"/>
    <n v="12"/>
    <n v="3"/>
    <n v="4"/>
    <n v="80"/>
    <n v="0"/>
    <n v="20"/>
    <n v="3"/>
    <n v="20"/>
    <n v="9"/>
    <n v="3"/>
    <n v="7"/>
  </r>
  <r>
    <s v="No"/>
    <s v="Non-Travel"/>
    <x v="0"/>
    <s v="Current Employees"/>
    <x v="1"/>
    <x v="0"/>
    <x v="1112"/>
    <x v="1112"/>
    <x v="1"/>
    <x v="5"/>
    <x v="0"/>
    <s v="No"/>
    <s v="Y"/>
    <n v="3"/>
    <n v="-2"/>
    <n v="0"/>
    <n v="39"/>
    <n v="0"/>
    <m/>
    <n v="0"/>
    <n v="1"/>
    <n v="105"/>
    <n v="9"/>
    <x v="3"/>
    <n v="1"/>
    <n v="4"/>
    <n v="87"/>
    <n v="3"/>
    <n v="5"/>
    <n v="4"/>
    <n v="19431"/>
    <n v="15302"/>
    <n v="2"/>
    <n v="13"/>
    <n v="3"/>
    <n v="3"/>
    <n v="80"/>
    <n v="0"/>
    <n v="21"/>
    <n v="2"/>
    <n v="6"/>
    <n v="0"/>
    <n v="1"/>
    <n v="3"/>
  </r>
  <r>
    <s v="No"/>
    <s v="Non-Travel"/>
    <x v="1"/>
    <s v="Current Employees"/>
    <x v="0"/>
    <x v="0"/>
    <x v="1113"/>
    <x v="1113"/>
    <x v="1"/>
    <x v="6"/>
    <x v="2"/>
    <s v="No"/>
    <s v="Y"/>
    <n v="3"/>
    <n v="-2"/>
    <n v="0"/>
    <n v="52"/>
    <n v="0"/>
    <m/>
    <n v="0"/>
    <n v="1"/>
    <n v="585"/>
    <n v="29"/>
    <x v="2"/>
    <n v="1"/>
    <n v="1"/>
    <n v="40"/>
    <n v="3"/>
    <n v="1"/>
    <n v="4"/>
    <n v="3482"/>
    <n v="19788"/>
    <n v="2"/>
    <n v="15"/>
    <n v="3"/>
    <n v="2"/>
    <n v="80"/>
    <n v="2"/>
    <n v="16"/>
    <n v="2"/>
    <n v="9"/>
    <n v="8"/>
    <n v="0"/>
    <n v="0"/>
  </r>
  <r>
    <s v="No"/>
    <s v="Non-Travel"/>
    <x v="1"/>
    <s v="Current Employees"/>
    <x v="0"/>
    <x v="3"/>
    <x v="1114"/>
    <x v="1114"/>
    <x v="1"/>
    <x v="0"/>
    <x v="1"/>
    <s v="No"/>
    <s v="Y"/>
    <n v="2"/>
    <n v="-2"/>
    <n v="0"/>
    <n v="45"/>
    <n v="0"/>
    <m/>
    <n v="0"/>
    <n v="1"/>
    <n v="336"/>
    <n v="26"/>
    <x v="3"/>
    <n v="1"/>
    <n v="1"/>
    <n v="52"/>
    <n v="2"/>
    <n v="2"/>
    <n v="2"/>
    <n v="4385"/>
    <n v="24162"/>
    <n v="1"/>
    <n v="15"/>
    <n v="3"/>
    <n v="1"/>
    <n v="80"/>
    <n v="1"/>
    <n v="10"/>
    <n v="3"/>
    <n v="10"/>
    <n v="7"/>
    <n v="4"/>
    <n v="5"/>
  </r>
  <r>
    <s v="No"/>
    <s v="Non-Travel"/>
    <x v="1"/>
    <s v="Current Employees"/>
    <x v="0"/>
    <x v="3"/>
    <x v="1115"/>
    <x v="1115"/>
    <x v="1"/>
    <x v="0"/>
    <x v="1"/>
    <s v="No"/>
    <s v="Y"/>
    <n v="3"/>
    <n v="-2"/>
    <n v="0"/>
    <n v="47"/>
    <n v="0"/>
    <m/>
    <n v="0"/>
    <n v="1"/>
    <n v="543"/>
    <n v="2"/>
    <x v="2"/>
    <n v="1"/>
    <n v="3"/>
    <n v="87"/>
    <n v="3"/>
    <n v="2"/>
    <n v="2"/>
    <n v="4978"/>
    <n v="3536"/>
    <n v="7"/>
    <n v="11"/>
    <n v="3"/>
    <n v="4"/>
    <n v="80"/>
    <n v="1"/>
    <n v="4"/>
    <n v="1"/>
    <n v="1"/>
    <n v="0"/>
    <n v="0"/>
    <n v="0"/>
  </r>
  <r>
    <s v="No"/>
    <s v="Non-Travel"/>
    <x v="1"/>
    <s v="Current Employees"/>
    <x v="0"/>
    <x v="0"/>
    <x v="1116"/>
    <x v="1116"/>
    <x v="1"/>
    <x v="0"/>
    <x v="0"/>
    <s v="No"/>
    <s v="Y"/>
    <n v="3"/>
    <n v="-2"/>
    <n v="0"/>
    <n v="46"/>
    <n v="0"/>
    <m/>
    <n v="0"/>
    <n v="1"/>
    <n v="849"/>
    <n v="26"/>
    <x v="0"/>
    <n v="1"/>
    <n v="2"/>
    <n v="98"/>
    <n v="2"/>
    <n v="2"/>
    <n v="2"/>
    <n v="7991"/>
    <n v="25166"/>
    <n v="8"/>
    <n v="15"/>
    <n v="3"/>
    <n v="3"/>
    <n v="80"/>
    <n v="0"/>
    <n v="6"/>
    <n v="3"/>
    <n v="2"/>
    <n v="2"/>
    <n v="2"/>
    <n v="2"/>
  </r>
  <r>
    <s v="No"/>
    <s v="Travel_Frequently"/>
    <x v="0"/>
    <s v="Current Employees"/>
    <x v="2"/>
    <x v="5"/>
    <x v="1117"/>
    <x v="1117"/>
    <x v="1"/>
    <x v="8"/>
    <x v="1"/>
    <s v="No"/>
    <s v="Y"/>
    <n v="2"/>
    <n v="-2"/>
    <n v="0"/>
    <n v="38"/>
    <n v="0"/>
    <m/>
    <n v="0"/>
    <n v="1"/>
    <n v="888"/>
    <n v="10"/>
    <x v="2"/>
    <n v="1"/>
    <n v="3"/>
    <n v="71"/>
    <n v="3"/>
    <n v="2"/>
    <n v="3"/>
    <n v="6077"/>
    <n v="14814"/>
    <n v="3"/>
    <n v="11"/>
    <n v="3"/>
    <n v="3"/>
    <n v="80"/>
    <n v="0"/>
    <n v="10"/>
    <n v="3"/>
    <n v="6"/>
    <n v="3"/>
    <n v="1"/>
    <n v="2"/>
  </r>
  <r>
    <s v="No"/>
    <s v="Travel_Frequently"/>
    <x v="4"/>
    <s v="Current Employees"/>
    <x v="2"/>
    <x v="2"/>
    <x v="1118"/>
    <x v="1118"/>
    <x v="1"/>
    <x v="8"/>
    <x v="1"/>
    <s v="No"/>
    <s v="Y"/>
    <n v="2"/>
    <n v="-2"/>
    <n v="0"/>
    <n v="24"/>
    <n v="0"/>
    <m/>
    <n v="0"/>
    <n v="1"/>
    <n v="897"/>
    <n v="10"/>
    <x v="3"/>
    <n v="1"/>
    <n v="1"/>
    <n v="59"/>
    <n v="3"/>
    <n v="1"/>
    <n v="4"/>
    <n v="2145"/>
    <n v="2097"/>
    <n v="0"/>
    <n v="14"/>
    <n v="3"/>
    <n v="4"/>
    <n v="80"/>
    <n v="1"/>
    <n v="3"/>
    <n v="3"/>
    <n v="2"/>
    <n v="2"/>
    <n v="2"/>
    <n v="1"/>
  </r>
  <r>
    <s v="No"/>
    <s v="Travel_Frequently"/>
    <x v="2"/>
    <s v="Current Employees"/>
    <x v="1"/>
    <x v="0"/>
    <x v="1119"/>
    <x v="1119"/>
    <x v="1"/>
    <x v="4"/>
    <x v="2"/>
    <s v="No"/>
    <s v="Y"/>
    <n v="0"/>
    <n v="-2"/>
    <n v="0"/>
    <n v="29"/>
    <n v="0"/>
    <m/>
    <n v="0"/>
    <n v="1"/>
    <n v="995"/>
    <n v="2"/>
    <x v="1"/>
    <n v="1"/>
    <n v="1"/>
    <n v="87"/>
    <n v="3"/>
    <n v="2"/>
    <n v="4"/>
    <n v="8853"/>
    <n v="24483"/>
    <n v="1"/>
    <n v="19"/>
    <n v="3"/>
    <n v="4"/>
    <n v="80"/>
    <n v="1"/>
    <n v="6"/>
    <n v="4"/>
    <n v="6"/>
    <n v="4"/>
    <n v="1"/>
    <n v="3"/>
  </r>
  <r>
    <s v="No"/>
    <s v="Travel_Frequently"/>
    <x v="2"/>
    <s v="Current Employees"/>
    <x v="1"/>
    <x v="0"/>
    <x v="1120"/>
    <x v="1120"/>
    <x v="1"/>
    <x v="3"/>
    <x v="2"/>
    <s v="No"/>
    <s v="Y"/>
    <n v="3"/>
    <n v="-2"/>
    <n v="0"/>
    <n v="34"/>
    <n v="0"/>
    <m/>
    <n v="0"/>
    <n v="1"/>
    <n v="426"/>
    <n v="10"/>
    <x v="2"/>
    <n v="1"/>
    <n v="3"/>
    <n v="42"/>
    <n v="4"/>
    <n v="2"/>
    <n v="4"/>
    <n v="4724"/>
    <n v="17000"/>
    <n v="1"/>
    <n v="13"/>
    <n v="3"/>
    <n v="1"/>
    <n v="80"/>
    <n v="1"/>
    <n v="9"/>
    <n v="3"/>
    <n v="9"/>
    <n v="7"/>
    <n v="7"/>
    <n v="2"/>
  </r>
  <r>
    <s v="No"/>
    <s v="Travel_Frequently"/>
    <x v="2"/>
    <s v="Current Employees"/>
    <x v="1"/>
    <x v="2"/>
    <x v="1121"/>
    <x v="1121"/>
    <x v="1"/>
    <x v="7"/>
    <x v="2"/>
    <s v="No"/>
    <s v="Y"/>
    <n v="3"/>
    <n v="-2"/>
    <n v="0"/>
    <n v="34"/>
    <n v="0"/>
    <m/>
    <n v="0"/>
    <n v="1"/>
    <n v="829"/>
    <n v="15"/>
    <x v="3"/>
    <n v="1"/>
    <n v="2"/>
    <n v="71"/>
    <n v="3"/>
    <n v="4"/>
    <n v="3"/>
    <n v="17007"/>
    <n v="11929"/>
    <n v="7"/>
    <n v="14"/>
    <n v="3"/>
    <n v="4"/>
    <n v="80"/>
    <n v="2"/>
    <n v="16"/>
    <n v="2"/>
    <n v="14"/>
    <n v="8"/>
    <n v="6"/>
    <n v="9"/>
  </r>
  <r>
    <s v="No"/>
    <s v="Travel_Frequently"/>
    <x v="2"/>
    <s v="Current Employees"/>
    <x v="1"/>
    <x v="1"/>
    <x v="1122"/>
    <x v="1122"/>
    <x v="1"/>
    <x v="1"/>
    <x v="2"/>
    <s v="No"/>
    <s v="Y"/>
    <n v="2"/>
    <n v="-2"/>
    <n v="0"/>
    <n v="34"/>
    <n v="0"/>
    <m/>
    <n v="0"/>
    <n v="1"/>
    <n v="560"/>
    <n v="1"/>
    <x v="2"/>
    <n v="1"/>
    <n v="4"/>
    <n v="91"/>
    <n v="3"/>
    <n v="1"/>
    <n v="3"/>
    <n v="2996"/>
    <n v="20284"/>
    <n v="5"/>
    <n v="14"/>
    <n v="3"/>
    <n v="3"/>
    <n v="80"/>
    <n v="2"/>
    <n v="10"/>
    <n v="3"/>
    <n v="4"/>
    <n v="3"/>
    <n v="1"/>
    <n v="3"/>
  </r>
  <r>
    <s v="No"/>
    <s v="Travel_Frequently"/>
    <x v="2"/>
    <s v="Current Employees"/>
    <x v="1"/>
    <x v="0"/>
    <x v="1123"/>
    <x v="1123"/>
    <x v="1"/>
    <x v="3"/>
    <x v="2"/>
    <s v="No"/>
    <s v="Y"/>
    <n v="6"/>
    <n v="-2"/>
    <n v="0"/>
    <n v="25"/>
    <n v="0"/>
    <m/>
    <n v="0"/>
    <n v="1"/>
    <n v="772"/>
    <n v="2"/>
    <x v="1"/>
    <n v="1"/>
    <n v="4"/>
    <n v="77"/>
    <n v="4"/>
    <n v="2"/>
    <n v="3"/>
    <n v="5206"/>
    <n v="4973"/>
    <n v="1"/>
    <n v="17"/>
    <n v="3"/>
    <n v="3"/>
    <n v="80"/>
    <n v="2"/>
    <n v="7"/>
    <n v="3"/>
    <n v="7"/>
    <n v="7"/>
    <n v="0"/>
    <n v="7"/>
  </r>
  <r>
    <s v="No"/>
    <s v="Travel_Frequently"/>
    <x v="1"/>
    <s v="Current Employees"/>
    <x v="1"/>
    <x v="0"/>
    <x v="1124"/>
    <x v="1124"/>
    <x v="1"/>
    <x v="7"/>
    <x v="1"/>
    <s v="No"/>
    <s v="Y"/>
    <n v="3"/>
    <n v="-2"/>
    <n v="0"/>
    <n v="49"/>
    <n v="0"/>
    <m/>
    <n v="0"/>
    <n v="1"/>
    <n v="1064"/>
    <n v="2"/>
    <x v="1"/>
    <n v="1"/>
    <n v="2"/>
    <n v="42"/>
    <n v="3"/>
    <n v="5"/>
    <n v="4"/>
    <n v="19161"/>
    <n v="13738"/>
    <n v="3"/>
    <n v="15"/>
    <n v="3"/>
    <n v="4"/>
    <n v="80"/>
    <n v="0"/>
    <n v="28"/>
    <n v="3"/>
    <n v="5"/>
    <n v="4"/>
    <n v="4"/>
    <n v="3"/>
  </r>
  <r>
    <s v="No"/>
    <s v="Travel_Frequently"/>
    <x v="2"/>
    <s v="Current Employees"/>
    <x v="1"/>
    <x v="2"/>
    <x v="1125"/>
    <x v="1125"/>
    <x v="1"/>
    <x v="2"/>
    <x v="1"/>
    <s v="No"/>
    <s v="Y"/>
    <n v="3"/>
    <n v="-2"/>
    <n v="0"/>
    <n v="29"/>
    <n v="0"/>
    <m/>
    <n v="0"/>
    <n v="1"/>
    <n v="574"/>
    <n v="20"/>
    <x v="1"/>
    <n v="1"/>
    <n v="4"/>
    <n v="40"/>
    <n v="3"/>
    <n v="1"/>
    <n v="4"/>
    <n v="3812"/>
    <n v="7003"/>
    <n v="1"/>
    <n v="13"/>
    <n v="3"/>
    <n v="2"/>
    <n v="80"/>
    <n v="0"/>
    <n v="11"/>
    <n v="4"/>
    <n v="11"/>
    <n v="8"/>
    <n v="3"/>
    <n v="10"/>
  </r>
  <r>
    <s v="No"/>
    <s v="Travel_Frequently"/>
    <x v="0"/>
    <s v="Current Employees"/>
    <x v="1"/>
    <x v="0"/>
    <x v="1126"/>
    <x v="1126"/>
    <x v="1"/>
    <x v="3"/>
    <x v="1"/>
    <s v="No"/>
    <s v="Y"/>
    <n v="1"/>
    <n v="-2"/>
    <n v="0"/>
    <n v="38"/>
    <n v="0"/>
    <m/>
    <n v="0"/>
    <n v="1"/>
    <n v="508"/>
    <n v="6"/>
    <x v="2"/>
    <n v="1"/>
    <n v="1"/>
    <n v="72"/>
    <n v="2"/>
    <n v="2"/>
    <n v="3"/>
    <n v="5321"/>
    <n v="14284"/>
    <n v="2"/>
    <n v="11"/>
    <n v="3"/>
    <n v="4"/>
    <n v="80"/>
    <n v="1"/>
    <n v="10"/>
    <n v="3"/>
    <n v="8"/>
    <n v="3"/>
    <n v="7"/>
    <n v="7"/>
  </r>
  <r>
    <s v="No"/>
    <s v="Travel_Frequently"/>
    <x v="2"/>
    <s v="Current Employees"/>
    <x v="1"/>
    <x v="0"/>
    <x v="1127"/>
    <x v="1127"/>
    <x v="1"/>
    <x v="1"/>
    <x v="1"/>
    <s v="No"/>
    <s v="Y"/>
    <n v="3"/>
    <n v="-2"/>
    <n v="0"/>
    <n v="32"/>
    <n v="0"/>
    <m/>
    <n v="0"/>
    <n v="1"/>
    <n v="585"/>
    <n v="10"/>
    <x v="3"/>
    <n v="1"/>
    <n v="1"/>
    <n v="56"/>
    <n v="3"/>
    <n v="1"/>
    <n v="3"/>
    <n v="3433"/>
    <n v="17360"/>
    <n v="6"/>
    <n v="13"/>
    <n v="3"/>
    <n v="1"/>
    <n v="80"/>
    <n v="1"/>
    <n v="10"/>
    <n v="2"/>
    <n v="5"/>
    <n v="2"/>
    <n v="1"/>
    <n v="3"/>
  </r>
  <r>
    <s v="No"/>
    <s v="Travel_Frequently"/>
    <x v="2"/>
    <s v="Current Employees"/>
    <x v="1"/>
    <x v="1"/>
    <x v="1128"/>
    <x v="1128"/>
    <x v="1"/>
    <x v="2"/>
    <x v="1"/>
    <s v="No"/>
    <s v="Y"/>
    <n v="3"/>
    <n v="-2"/>
    <n v="0"/>
    <n v="26"/>
    <n v="0"/>
    <m/>
    <n v="0"/>
    <n v="1"/>
    <n v="1096"/>
    <n v="6"/>
    <x v="3"/>
    <n v="1"/>
    <n v="3"/>
    <n v="61"/>
    <n v="4"/>
    <n v="1"/>
    <n v="4"/>
    <n v="2544"/>
    <n v="7102"/>
    <n v="0"/>
    <n v="18"/>
    <n v="3"/>
    <n v="1"/>
    <n v="80"/>
    <n v="1"/>
    <n v="8"/>
    <n v="3"/>
    <n v="7"/>
    <n v="7"/>
    <n v="7"/>
    <n v="7"/>
  </r>
  <r>
    <s v="No"/>
    <s v="Travel_Frequently"/>
    <x v="0"/>
    <s v="Current Employees"/>
    <x v="1"/>
    <x v="2"/>
    <x v="1129"/>
    <x v="1129"/>
    <x v="1"/>
    <x v="2"/>
    <x v="1"/>
    <s v="No"/>
    <s v="Y"/>
    <n v="3"/>
    <n v="-2"/>
    <n v="0"/>
    <n v="36"/>
    <n v="0"/>
    <m/>
    <n v="0"/>
    <n v="1"/>
    <n v="884"/>
    <n v="23"/>
    <x v="0"/>
    <n v="1"/>
    <n v="3"/>
    <n v="41"/>
    <n v="4"/>
    <n v="2"/>
    <n v="4"/>
    <n v="2571"/>
    <n v="12290"/>
    <n v="4"/>
    <n v="17"/>
    <n v="3"/>
    <n v="3"/>
    <n v="80"/>
    <n v="1"/>
    <n v="17"/>
    <n v="3"/>
    <n v="5"/>
    <n v="2"/>
    <n v="0"/>
    <n v="3"/>
  </r>
  <r>
    <s v="No"/>
    <s v="Travel_Frequently"/>
    <x v="2"/>
    <s v="Current Employees"/>
    <x v="1"/>
    <x v="4"/>
    <x v="1130"/>
    <x v="1130"/>
    <x v="1"/>
    <x v="4"/>
    <x v="1"/>
    <s v="No"/>
    <s v="Y"/>
    <n v="3"/>
    <n v="-2"/>
    <n v="0"/>
    <n v="34"/>
    <n v="0"/>
    <m/>
    <n v="0"/>
    <n v="1"/>
    <n v="653"/>
    <n v="10"/>
    <x v="2"/>
    <n v="1"/>
    <n v="4"/>
    <n v="92"/>
    <n v="2"/>
    <n v="2"/>
    <n v="4"/>
    <n v="5063"/>
    <n v="15332"/>
    <n v="1"/>
    <n v="14"/>
    <n v="3"/>
    <n v="2"/>
    <n v="80"/>
    <n v="1"/>
    <n v="8"/>
    <n v="2"/>
    <n v="8"/>
    <n v="2"/>
    <n v="7"/>
    <n v="7"/>
  </r>
  <r>
    <s v="No"/>
    <s v="Travel_Frequently"/>
    <x v="0"/>
    <s v="Current Employees"/>
    <x v="1"/>
    <x v="0"/>
    <x v="1131"/>
    <x v="1131"/>
    <x v="1"/>
    <x v="1"/>
    <x v="1"/>
    <s v="No"/>
    <s v="Y"/>
    <n v="4"/>
    <n v="-2"/>
    <n v="0"/>
    <n v="38"/>
    <n v="0"/>
    <m/>
    <n v="0"/>
    <n v="1"/>
    <n v="1189"/>
    <n v="1"/>
    <x v="3"/>
    <n v="1"/>
    <n v="4"/>
    <n v="90"/>
    <n v="3"/>
    <n v="2"/>
    <n v="4"/>
    <n v="4735"/>
    <n v="9867"/>
    <n v="7"/>
    <n v="15"/>
    <n v="3"/>
    <n v="4"/>
    <n v="80"/>
    <n v="2"/>
    <n v="19"/>
    <n v="4"/>
    <n v="13"/>
    <n v="11"/>
    <n v="2"/>
    <n v="9"/>
  </r>
  <r>
    <s v="No"/>
    <s v="Travel_Frequently"/>
    <x v="1"/>
    <s v="Current Employees"/>
    <x v="1"/>
    <x v="2"/>
    <x v="1132"/>
    <x v="1132"/>
    <x v="1"/>
    <x v="4"/>
    <x v="0"/>
    <s v="No"/>
    <s v="Y"/>
    <n v="3"/>
    <n v="-2"/>
    <n v="0"/>
    <n v="45"/>
    <n v="0"/>
    <m/>
    <n v="0"/>
    <n v="1"/>
    <n v="1297"/>
    <n v="1"/>
    <x v="2"/>
    <n v="1"/>
    <n v="2"/>
    <n v="44"/>
    <n v="3"/>
    <n v="2"/>
    <n v="3"/>
    <n v="5399"/>
    <n v="14511"/>
    <n v="4"/>
    <n v="12"/>
    <n v="3"/>
    <n v="3"/>
    <n v="80"/>
    <n v="0"/>
    <n v="12"/>
    <n v="3"/>
    <n v="4"/>
    <n v="2"/>
    <n v="0"/>
    <n v="3"/>
  </r>
  <r>
    <s v="No"/>
    <s v="Travel_Frequently"/>
    <x v="0"/>
    <s v="Current Employees"/>
    <x v="1"/>
    <x v="0"/>
    <x v="1133"/>
    <x v="1133"/>
    <x v="1"/>
    <x v="3"/>
    <x v="0"/>
    <s v="No"/>
    <s v="Y"/>
    <n v="2"/>
    <n v="-2"/>
    <n v="0"/>
    <n v="35"/>
    <n v="0"/>
    <m/>
    <n v="0"/>
    <n v="1"/>
    <n v="200"/>
    <n v="18"/>
    <x v="0"/>
    <n v="1"/>
    <n v="3"/>
    <n v="60"/>
    <n v="3"/>
    <n v="3"/>
    <n v="4"/>
    <n v="9362"/>
    <n v="19944"/>
    <n v="2"/>
    <n v="11"/>
    <n v="3"/>
    <n v="3"/>
    <n v="80"/>
    <n v="0"/>
    <n v="10"/>
    <n v="3"/>
    <n v="2"/>
    <n v="2"/>
    <n v="2"/>
    <n v="2"/>
  </r>
  <r>
    <s v="No"/>
    <s v="Travel_Frequently"/>
    <x v="2"/>
    <s v="Current Employees"/>
    <x v="1"/>
    <x v="2"/>
    <x v="1134"/>
    <x v="1134"/>
    <x v="1"/>
    <x v="1"/>
    <x v="0"/>
    <s v="No"/>
    <s v="Y"/>
    <n v="0"/>
    <n v="-2"/>
    <n v="0"/>
    <n v="27"/>
    <n v="0"/>
    <m/>
    <n v="0"/>
    <n v="1"/>
    <n v="591"/>
    <n v="2"/>
    <x v="3"/>
    <n v="1"/>
    <n v="4"/>
    <n v="87"/>
    <n v="3"/>
    <n v="1"/>
    <n v="4"/>
    <n v="2580"/>
    <n v="6297"/>
    <n v="2"/>
    <n v="13"/>
    <n v="3"/>
    <n v="3"/>
    <n v="80"/>
    <n v="0"/>
    <n v="6"/>
    <n v="2"/>
    <n v="4"/>
    <n v="2"/>
    <n v="1"/>
    <n v="2"/>
  </r>
  <r>
    <s v="No"/>
    <s v="Travel_Frequently"/>
    <x v="0"/>
    <s v="Current Employees"/>
    <x v="0"/>
    <x v="0"/>
    <x v="1135"/>
    <x v="1135"/>
    <x v="1"/>
    <x v="0"/>
    <x v="2"/>
    <s v="No"/>
    <s v="Y"/>
    <n v="6"/>
    <n v="-2"/>
    <n v="0"/>
    <n v="39"/>
    <n v="0"/>
    <m/>
    <n v="0"/>
    <n v="1"/>
    <n v="766"/>
    <n v="20"/>
    <x v="3"/>
    <n v="1"/>
    <n v="3"/>
    <n v="83"/>
    <n v="3"/>
    <n v="2"/>
    <n v="4"/>
    <n v="4127"/>
    <n v="19188"/>
    <n v="2"/>
    <n v="18"/>
    <n v="3"/>
    <n v="4"/>
    <n v="80"/>
    <n v="1"/>
    <n v="7"/>
    <n v="3"/>
    <n v="2"/>
    <n v="1"/>
    <n v="2"/>
    <n v="2"/>
  </r>
  <r>
    <s v="No"/>
    <s v="Travel_Frequently"/>
    <x v="0"/>
    <s v="Current Employees"/>
    <x v="0"/>
    <x v="2"/>
    <x v="1136"/>
    <x v="1136"/>
    <x v="1"/>
    <x v="0"/>
    <x v="2"/>
    <s v="No"/>
    <s v="Y"/>
    <n v="2"/>
    <n v="-2"/>
    <n v="0"/>
    <n v="37"/>
    <n v="0"/>
    <m/>
    <n v="0"/>
    <n v="1"/>
    <n v="1278"/>
    <n v="1"/>
    <x v="2"/>
    <n v="1"/>
    <n v="3"/>
    <n v="31"/>
    <n v="1"/>
    <n v="2"/>
    <n v="4"/>
    <n v="9525"/>
    <n v="7677"/>
    <n v="1"/>
    <n v="14"/>
    <n v="3"/>
    <n v="3"/>
    <n v="80"/>
    <n v="2"/>
    <n v="6"/>
    <n v="2"/>
    <n v="6"/>
    <n v="3"/>
    <n v="1"/>
    <n v="3"/>
  </r>
  <r>
    <s v="No"/>
    <s v="Travel_Frequently"/>
    <x v="1"/>
    <s v="Current Employees"/>
    <x v="0"/>
    <x v="2"/>
    <x v="1137"/>
    <x v="1137"/>
    <x v="1"/>
    <x v="0"/>
    <x v="1"/>
    <s v="No"/>
    <s v="Y"/>
    <n v="3"/>
    <n v="-2"/>
    <n v="0"/>
    <n v="49"/>
    <n v="0"/>
    <m/>
    <n v="0"/>
    <n v="1"/>
    <n v="1023"/>
    <n v="2"/>
    <x v="3"/>
    <n v="1"/>
    <n v="4"/>
    <n v="63"/>
    <n v="2"/>
    <n v="2"/>
    <n v="2"/>
    <n v="5390"/>
    <n v="13243"/>
    <n v="2"/>
    <n v="14"/>
    <n v="3"/>
    <n v="4"/>
    <n v="80"/>
    <n v="0"/>
    <n v="17"/>
    <n v="2"/>
    <n v="9"/>
    <n v="6"/>
    <n v="0"/>
    <n v="8"/>
  </r>
  <r>
    <s v="No"/>
    <s v="Travel_Frequently"/>
    <x v="2"/>
    <s v="Current Employees"/>
    <x v="0"/>
    <x v="2"/>
    <x v="1138"/>
    <x v="1138"/>
    <x v="1"/>
    <x v="0"/>
    <x v="1"/>
    <s v="No"/>
    <s v="Y"/>
    <n v="2"/>
    <n v="-2"/>
    <n v="0"/>
    <n v="33"/>
    <n v="0"/>
    <m/>
    <n v="0"/>
    <n v="1"/>
    <n v="430"/>
    <n v="7"/>
    <x v="3"/>
    <n v="1"/>
    <n v="4"/>
    <n v="54"/>
    <n v="3"/>
    <n v="2"/>
    <n v="3"/>
    <n v="4373"/>
    <n v="17456"/>
    <n v="0"/>
    <n v="14"/>
    <n v="3"/>
    <n v="1"/>
    <n v="80"/>
    <n v="2"/>
    <n v="5"/>
    <n v="3"/>
    <n v="4"/>
    <n v="3"/>
    <n v="0"/>
    <n v="3"/>
  </r>
  <r>
    <s v="No"/>
    <s v="Travel_Frequently"/>
    <x v="2"/>
    <s v="Current Employees"/>
    <x v="0"/>
    <x v="0"/>
    <x v="1139"/>
    <x v="1139"/>
    <x v="1"/>
    <x v="0"/>
    <x v="0"/>
    <s v="No"/>
    <s v="Y"/>
    <n v="5"/>
    <n v="-2"/>
    <n v="0"/>
    <n v="28"/>
    <n v="0"/>
    <m/>
    <n v="0"/>
    <n v="1"/>
    <n v="467"/>
    <n v="7"/>
    <x v="3"/>
    <n v="1"/>
    <n v="3"/>
    <n v="55"/>
    <n v="3"/>
    <n v="2"/>
    <n v="3"/>
    <n v="4898"/>
    <n v="11827"/>
    <n v="0"/>
    <n v="14"/>
    <n v="3"/>
    <n v="4"/>
    <n v="80"/>
    <n v="0"/>
    <n v="5"/>
    <n v="3"/>
    <n v="4"/>
    <n v="2"/>
    <n v="1"/>
    <n v="3"/>
  </r>
  <r>
    <s v="No"/>
    <s v="Travel_Frequently"/>
    <x v="2"/>
    <s v="Current Employees"/>
    <x v="0"/>
    <x v="1"/>
    <x v="1140"/>
    <x v="1140"/>
    <x v="1"/>
    <x v="0"/>
    <x v="0"/>
    <s v="No"/>
    <s v="Y"/>
    <n v="3"/>
    <n v="-2"/>
    <n v="0"/>
    <n v="31"/>
    <n v="0"/>
    <m/>
    <n v="0"/>
    <n v="1"/>
    <n v="715"/>
    <n v="2"/>
    <x v="2"/>
    <n v="1"/>
    <n v="4"/>
    <n v="54"/>
    <n v="3"/>
    <n v="2"/>
    <n v="3"/>
    <n v="5332"/>
    <n v="21602"/>
    <n v="7"/>
    <n v="13"/>
    <n v="3"/>
    <n v="4"/>
    <n v="80"/>
    <n v="0"/>
    <n v="10"/>
    <n v="3"/>
    <n v="5"/>
    <n v="2"/>
    <n v="0"/>
    <n v="3"/>
  </r>
  <r>
    <s v="No"/>
    <s v="Travel_Frequently"/>
    <x v="2"/>
    <s v="Current Employees"/>
    <x v="0"/>
    <x v="3"/>
    <x v="1141"/>
    <x v="1141"/>
    <x v="1"/>
    <x v="0"/>
    <x v="0"/>
    <s v="No"/>
    <s v="Y"/>
    <n v="2"/>
    <n v="-2"/>
    <n v="0"/>
    <n v="32"/>
    <n v="0"/>
    <m/>
    <n v="0"/>
    <n v="1"/>
    <n v="1318"/>
    <n v="10"/>
    <x v="2"/>
    <n v="1"/>
    <n v="4"/>
    <n v="79"/>
    <n v="3"/>
    <n v="2"/>
    <n v="2"/>
    <n v="4648"/>
    <n v="26075"/>
    <n v="8"/>
    <n v="13"/>
    <n v="3"/>
    <n v="3"/>
    <n v="80"/>
    <n v="0"/>
    <n v="4"/>
    <n v="4"/>
    <n v="0"/>
    <n v="0"/>
    <n v="0"/>
    <n v="0"/>
  </r>
  <r>
    <s v="No"/>
    <s v="Travel_Rarely"/>
    <x v="0"/>
    <s v="Current Employees"/>
    <x v="2"/>
    <x v="1"/>
    <x v="1142"/>
    <x v="1142"/>
    <x v="1"/>
    <x v="8"/>
    <x v="2"/>
    <s v="No"/>
    <s v="Y"/>
    <n v="4"/>
    <n v="-2"/>
    <n v="0"/>
    <n v="37"/>
    <n v="0"/>
    <m/>
    <n v="0"/>
    <n v="1"/>
    <n v="1239"/>
    <n v="8"/>
    <x v="0"/>
    <n v="1"/>
    <n v="3"/>
    <n v="89"/>
    <n v="3"/>
    <n v="2"/>
    <n v="2"/>
    <n v="4071"/>
    <n v="12832"/>
    <n v="2"/>
    <n v="13"/>
    <n v="3"/>
    <n v="3"/>
    <n v="80"/>
    <n v="0"/>
    <n v="19"/>
    <n v="2"/>
    <n v="10"/>
    <n v="0"/>
    <n v="4"/>
    <n v="7"/>
  </r>
  <r>
    <s v="No"/>
    <s v="Travel_Rarely"/>
    <x v="2"/>
    <s v="Current Employees"/>
    <x v="2"/>
    <x v="2"/>
    <x v="1143"/>
    <x v="1143"/>
    <x v="1"/>
    <x v="8"/>
    <x v="1"/>
    <s v="No"/>
    <s v="Y"/>
    <n v="3"/>
    <n v="-2"/>
    <n v="0"/>
    <n v="29"/>
    <n v="0"/>
    <m/>
    <n v="0"/>
    <n v="1"/>
    <n v="352"/>
    <n v="6"/>
    <x v="1"/>
    <n v="1"/>
    <n v="4"/>
    <n v="87"/>
    <n v="2"/>
    <n v="1"/>
    <n v="2"/>
    <n v="2804"/>
    <n v="15434"/>
    <n v="1"/>
    <n v="11"/>
    <n v="3"/>
    <n v="4"/>
    <n v="80"/>
    <n v="0"/>
    <n v="1"/>
    <n v="3"/>
    <n v="1"/>
    <n v="0"/>
    <n v="0"/>
    <n v="0"/>
  </r>
  <r>
    <s v="No"/>
    <s v="Travel_Rarely"/>
    <x v="2"/>
    <s v="Current Employees"/>
    <x v="2"/>
    <x v="1"/>
    <x v="1144"/>
    <x v="1144"/>
    <x v="1"/>
    <x v="8"/>
    <x v="0"/>
    <s v="No"/>
    <s v="Y"/>
    <n v="3"/>
    <n v="-2"/>
    <n v="0"/>
    <n v="29"/>
    <n v="0"/>
    <m/>
    <n v="0"/>
    <n v="1"/>
    <n v="332"/>
    <n v="17"/>
    <x v="3"/>
    <n v="1"/>
    <n v="2"/>
    <n v="51"/>
    <n v="2"/>
    <n v="3"/>
    <n v="3"/>
    <n v="7988"/>
    <n v="9769"/>
    <n v="1"/>
    <n v="13"/>
    <n v="3"/>
    <n v="1"/>
    <n v="80"/>
    <n v="0"/>
    <n v="10"/>
    <n v="2"/>
    <n v="10"/>
    <n v="9"/>
    <n v="0"/>
    <n v="9"/>
  </r>
  <r>
    <s v="No"/>
    <s v="Travel_Rarely"/>
    <x v="0"/>
    <s v="Current Employees"/>
    <x v="2"/>
    <x v="0"/>
    <x v="1145"/>
    <x v="1145"/>
    <x v="1"/>
    <x v="8"/>
    <x v="0"/>
    <s v="No"/>
    <s v="Y"/>
    <n v="5"/>
    <n v="-2"/>
    <n v="0"/>
    <n v="43"/>
    <n v="0"/>
    <m/>
    <n v="0"/>
    <n v="1"/>
    <n v="244"/>
    <n v="2"/>
    <x v="3"/>
    <n v="1"/>
    <n v="2"/>
    <n v="97"/>
    <n v="3"/>
    <n v="1"/>
    <n v="4"/>
    <n v="3539"/>
    <n v="5033"/>
    <n v="0"/>
    <n v="13"/>
    <n v="3"/>
    <n v="2"/>
    <n v="80"/>
    <n v="0"/>
    <n v="10"/>
    <n v="3"/>
    <n v="9"/>
    <n v="7"/>
    <n v="1"/>
    <n v="8"/>
  </r>
  <r>
    <s v="No"/>
    <s v="Travel_Rarely"/>
    <x v="3"/>
    <s v="Current Employees"/>
    <x v="1"/>
    <x v="4"/>
    <x v="1146"/>
    <x v="1146"/>
    <x v="1"/>
    <x v="1"/>
    <x v="2"/>
    <s v="No"/>
    <s v="Y"/>
    <n v="1"/>
    <n v="-2"/>
    <n v="0"/>
    <n v="55"/>
    <n v="0"/>
    <m/>
    <n v="0"/>
    <n v="1"/>
    <n v="1441"/>
    <n v="22"/>
    <x v="3"/>
    <n v="1"/>
    <n v="4"/>
    <n v="94"/>
    <n v="2"/>
    <n v="1"/>
    <n v="4"/>
    <n v="3537"/>
    <n v="23737"/>
    <n v="5"/>
    <n v="12"/>
    <n v="3"/>
    <n v="4"/>
    <n v="80"/>
    <n v="1"/>
    <n v="8"/>
    <n v="3"/>
    <n v="4"/>
    <n v="2"/>
    <n v="1"/>
    <n v="2"/>
  </r>
  <r>
    <s v="No"/>
    <s v="Travel_Rarely"/>
    <x v="2"/>
    <s v="Current Employees"/>
    <x v="1"/>
    <x v="0"/>
    <x v="1147"/>
    <x v="1147"/>
    <x v="1"/>
    <x v="1"/>
    <x v="2"/>
    <s v="No"/>
    <s v="Y"/>
    <n v="2"/>
    <n v="-2"/>
    <n v="0"/>
    <n v="28"/>
    <n v="0"/>
    <m/>
    <n v="0"/>
    <n v="1"/>
    <n v="1423"/>
    <n v="1"/>
    <x v="3"/>
    <n v="1"/>
    <n v="1"/>
    <n v="72"/>
    <n v="2"/>
    <n v="1"/>
    <n v="3"/>
    <n v="1563"/>
    <n v="12530"/>
    <n v="1"/>
    <n v="14"/>
    <n v="3"/>
    <n v="4"/>
    <n v="80"/>
    <n v="1"/>
    <n v="1"/>
    <n v="1"/>
    <n v="1"/>
    <n v="0"/>
    <n v="0"/>
    <n v="0"/>
  </r>
  <r>
    <s v="No"/>
    <s v="Travel_Rarely"/>
    <x v="0"/>
    <s v="Current Employees"/>
    <x v="1"/>
    <x v="0"/>
    <x v="1148"/>
    <x v="1148"/>
    <x v="1"/>
    <x v="5"/>
    <x v="2"/>
    <s v="No"/>
    <s v="Y"/>
    <n v="3"/>
    <n v="-2"/>
    <n v="0"/>
    <n v="40"/>
    <n v="0"/>
    <m/>
    <n v="0"/>
    <n v="1"/>
    <n v="1137"/>
    <n v="1"/>
    <x v="2"/>
    <n v="1"/>
    <n v="1"/>
    <n v="98"/>
    <n v="3"/>
    <n v="4"/>
    <n v="3"/>
    <n v="16823"/>
    <n v="18991"/>
    <n v="2"/>
    <n v="11"/>
    <n v="3"/>
    <n v="1"/>
    <n v="80"/>
    <n v="1"/>
    <n v="22"/>
    <n v="3"/>
    <n v="19"/>
    <n v="7"/>
    <n v="11"/>
    <n v="16"/>
  </r>
  <r>
    <s v="No"/>
    <s v="Travel_Rarely"/>
    <x v="2"/>
    <s v="Current Employees"/>
    <x v="1"/>
    <x v="0"/>
    <x v="1149"/>
    <x v="1149"/>
    <x v="1"/>
    <x v="2"/>
    <x v="2"/>
    <s v="No"/>
    <s v="Y"/>
    <n v="2"/>
    <n v="-2"/>
    <n v="0"/>
    <n v="31"/>
    <n v="0"/>
    <m/>
    <n v="0"/>
    <n v="1"/>
    <n v="311"/>
    <n v="20"/>
    <x v="3"/>
    <n v="1"/>
    <n v="2"/>
    <n v="89"/>
    <n v="3"/>
    <n v="2"/>
    <n v="3"/>
    <n v="4197"/>
    <n v="18624"/>
    <n v="1"/>
    <n v="11"/>
    <n v="3"/>
    <n v="1"/>
    <n v="80"/>
    <n v="1"/>
    <n v="10"/>
    <n v="3"/>
    <n v="10"/>
    <n v="8"/>
    <n v="0"/>
    <n v="2"/>
  </r>
  <r>
    <s v="No"/>
    <s v="Travel_Rarely"/>
    <x v="0"/>
    <s v="Current Employees"/>
    <x v="1"/>
    <x v="2"/>
    <x v="1150"/>
    <x v="1150"/>
    <x v="1"/>
    <x v="2"/>
    <x v="2"/>
    <s v="No"/>
    <s v="Y"/>
    <n v="3"/>
    <n v="-2"/>
    <n v="0"/>
    <n v="39"/>
    <n v="0"/>
    <m/>
    <n v="0"/>
    <n v="1"/>
    <n v="170"/>
    <n v="3"/>
    <x v="0"/>
    <n v="1"/>
    <n v="3"/>
    <n v="76"/>
    <n v="2"/>
    <n v="2"/>
    <n v="3"/>
    <n v="3069"/>
    <n v="10302"/>
    <n v="0"/>
    <n v="15"/>
    <n v="3"/>
    <n v="4"/>
    <n v="80"/>
    <n v="1"/>
    <n v="11"/>
    <n v="3"/>
    <n v="10"/>
    <n v="8"/>
    <n v="0"/>
    <n v="7"/>
  </r>
  <r>
    <s v="No"/>
    <s v="Travel_Rarely"/>
    <x v="0"/>
    <s v="Current Employees"/>
    <x v="1"/>
    <x v="2"/>
    <x v="1151"/>
    <x v="1151"/>
    <x v="1"/>
    <x v="1"/>
    <x v="2"/>
    <s v="No"/>
    <s v="Y"/>
    <n v="3"/>
    <n v="-2"/>
    <n v="0"/>
    <n v="40"/>
    <n v="0"/>
    <m/>
    <n v="0"/>
    <n v="1"/>
    <n v="896"/>
    <n v="2"/>
    <x v="3"/>
    <n v="1"/>
    <n v="3"/>
    <n v="68"/>
    <n v="3"/>
    <n v="1"/>
    <n v="3"/>
    <n v="2345"/>
    <n v="8045"/>
    <n v="2"/>
    <n v="14"/>
    <n v="3"/>
    <n v="3"/>
    <n v="80"/>
    <n v="1"/>
    <n v="8"/>
    <n v="4"/>
    <n v="3"/>
    <n v="1"/>
    <n v="1"/>
    <n v="2"/>
  </r>
  <r>
    <s v="No"/>
    <s v="Travel_Rarely"/>
    <x v="1"/>
    <s v="Current Employees"/>
    <x v="1"/>
    <x v="0"/>
    <x v="1152"/>
    <x v="1152"/>
    <x v="1"/>
    <x v="3"/>
    <x v="2"/>
    <s v="No"/>
    <s v="Y"/>
    <n v="4"/>
    <n v="-2"/>
    <n v="0"/>
    <n v="46"/>
    <n v="0"/>
    <m/>
    <n v="0"/>
    <n v="1"/>
    <n v="706"/>
    <n v="2"/>
    <x v="0"/>
    <n v="1"/>
    <n v="4"/>
    <n v="82"/>
    <n v="3"/>
    <n v="3"/>
    <n v="4"/>
    <n v="8578"/>
    <n v="19989"/>
    <n v="3"/>
    <n v="14"/>
    <n v="3"/>
    <n v="3"/>
    <n v="80"/>
    <n v="1"/>
    <n v="12"/>
    <n v="2"/>
    <n v="9"/>
    <n v="8"/>
    <n v="4"/>
    <n v="7"/>
  </r>
  <r>
    <s v="No"/>
    <s v="Travel_Rarely"/>
    <x v="0"/>
    <s v="Current Employees"/>
    <x v="1"/>
    <x v="4"/>
    <x v="1153"/>
    <x v="1153"/>
    <x v="1"/>
    <x v="2"/>
    <x v="2"/>
    <s v="No"/>
    <s v="Y"/>
    <n v="0"/>
    <n v="-2"/>
    <n v="0"/>
    <n v="43"/>
    <n v="0"/>
    <m/>
    <n v="0"/>
    <n v="1"/>
    <n v="990"/>
    <n v="27"/>
    <x v="3"/>
    <n v="1"/>
    <n v="4"/>
    <n v="87"/>
    <n v="4"/>
    <n v="1"/>
    <n v="4"/>
    <n v="4876"/>
    <n v="5855"/>
    <n v="5"/>
    <n v="12"/>
    <n v="3"/>
    <n v="3"/>
    <n v="80"/>
    <n v="1"/>
    <n v="8"/>
    <n v="3"/>
    <n v="6"/>
    <n v="4"/>
    <n v="0"/>
    <n v="2"/>
  </r>
  <r>
    <s v="No"/>
    <s v="Travel_Rarely"/>
    <x v="0"/>
    <s v="Current Employees"/>
    <x v="1"/>
    <x v="0"/>
    <x v="1154"/>
    <x v="1154"/>
    <x v="1"/>
    <x v="1"/>
    <x v="2"/>
    <s v="No"/>
    <s v="Y"/>
    <n v="0"/>
    <n v="-2"/>
    <n v="0"/>
    <n v="38"/>
    <n v="0"/>
    <m/>
    <n v="0"/>
    <n v="1"/>
    <n v="1206"/>
    <n v="9"/>
    <x v="0"/>
    <n v="1"/>
    <n v="2"/>
    <n v="71"/>
    <n v="3"/>
    <n v="1"/>
    <n v="4"/>
    <n v="4771"/>
    <n v="14293"/>
    <n v="2"/>
    <n v="19"/>
    <n v="3"/>
    <n v="4"/>
    <n v="80"/>
    <n v="2"/>
    <n v="10"/>
    <n v="4"/>
    <n v="5"/>
    <n v="2"/>
    <n v="0"/>
    <n v="3"/>
  </r>
  <r>
    <s v="No"/>
    <s v="Travel_Rarely"/>
    <x v="3"/>
    <s v="Current Employees"/>
    <x v="1"/>
    <x v="2"/>
    <x v="1155"/>
    <x v="1155"/>
    <x v="1"/>
    <x v="7"/>
    <x v="2"/>
    <s v="No"/>
    <s v="Y"/>
    <n v="4"/>
    <n v="-2"/>
    <n v="0"/>
    <n v="55"/>
    <n v="0"/>
    <m/>
    <n v="0"/>
    <n v="1"/>
    <n v="1136"/>
    <n v="1"/>
    <x v="2"/>
    <n v="1"/>
    <n v="2"/>
    <n v="81"/>
    <n v="4"/>
    <n v="4"/>
    <n v="4"/>
    <n v="14732"/>
    <n v="12414"/>
    <n v="2"/>
    <n v="13"/>
    <n v="3"/>
    <n v="4"/>
    <n v="80"/>
    <n v="2"/>
    <n v="31"/>
    <n v="4"/>
    <n v="7"/>
    <n v="7"/>
    <n v="0"/>
    <n v="0"/>
  </r>
  <r>
    <s v="No"/>
    <s v="Travel_Rarely"/>
    <x v="1"/>
    <s v="Current Employees"/>
    <x v="1"/>
    <x v="0"/>
    <x v="1156"/>
    <x v="1156"/>
    <x v="1"/>
    <x v="4"/>
    <x v="2"/>
    <s v="No"/>
    <s v="Y"/>
    <n v="3"/>
    <n v="-2"/>
    <n v="0"/>
    <n v="49"/>
    <n v="0"/>
    <m/>
    <n v="0"/>
    <n v="1"/>
    <n v="1490"/>
    <n v="7"/>
    <x v="2"/>
    <n v="1"/>
    <n v="3"/>
    <n v="35"/>
    <n v="3"/>
    <n v="3"/>
    <n v="2"/>
    <n v="10466"/>
    <n v="20948"/>
    <n v="3"/>
    <n v="14"/>
    <n v="3"/>
    <n v="2"/>
    <n v="80"/>
    <n v="2"/>
    <n v="29"/>
    <n v="3"/>
    <n v="8"/>
    <n v="7"/>
    <n v="0"/>
    <n v="7"/>
  </r>
  <r>
    <s v="No"/>
    <s v="Travel_Rarely"/>
    <x v="2"/>
    <s v="Current Employees"/>
    <x v="1"/>
    <x v="0"/>
    <x v="1157"/>
    <x v="1157"/>
    <x v="1"/>
    <x v="4"/>
    <x v="2"/>
    <s v="No"/>
    <s v="Y"/>
    <n v="3"/>
    <n v="-2"/>
    <n v="0"/>
    <n v="29"/>
    <n v="0"/>
    <m/>
    <n v="0"/>
    <n v="1"/>
    <n v="726"/>
    <n v="29"/>
    <x v="1"/>
    <n v="1"/>
    <n v="4"/>
    <n v="93"/>
    <n v="1"/>
    <n v="2"/>
    <n v="3"/>
    <n v="6384"/>
    <n v="21143"/>
    <n v="8"/>
    <n v="17"/>
    <n v="3"/>
    <n v="4"/>
    <n v="80"/>
    <n v="2"/>
    <n v="11"/>
    <n v="3"/>
    <n v="7"/>
    <n v="0"/>
    <n v="1"/>
    <n v="6"/>
  </r>
  <r>
    <s v="No"/>
    <s v="Travel_Rarely"/>
    <x v="2"/>
    <s v="Current Employees"/>
    <x v="1"/>
    <x v="1"/>
    <x v="1158"/>
    <x v="1158"/>
    <x v="1"/>
    <x v="2"/>
    <x v="2"/>
    <s v="No"/>
    <s v="Y"/>
    <n v="3"/>
    <n v="-2"/>
    <n v="0"/>
    <n v="27"/>
    <n v="0"/>
    <m/>
    <n v="0"/>
    <n v="1"/>
    <n v="1302"/>
    <n v="19"/>
    <x v="3"/>
    <n v="1"/>
    <n v="4"/>
    <n v="67"/>
    <n v="2"/>
    <n v="1"/>
    <n v="3"/>
    <n v="4066"/>
    <n v="16290"/>
    <n v="1"/>
    <n v="11"/>
    <n v="3"/>
    <n v="1"/>
    <n v="80"/>
    <n v="2"/>
    <n v="7"/>
    <n v="3"/>
    <n v="7"/>
    <n v="7"/>
    <n v="0"/>
    <n v="7"/>
  </r>
  <r>
    <s v="No"/>
    <s v="Travel_Rarely"/>
    <x v="2"/>
    <s v="Current Employees"/>
    <x v="1"/>
    <x v="2"/>
    <x v="1159"/>
    <x v="1159"/>
    <x v="1"/>
    <x v="1"/>
    <x v="2"/>
    <s v="No"/>
    <s v="Y"/>
    <n v="4"/>
    <n v="-2"/>
    <n v="0"/>
    <n v="32"/>
    <n v="0"/>
    <m/>
    <n v="0"/>
    <n v="1"/>
    <n v="977"/>
    <n v="2"/>
    <x v="3"/>
    <n v="1"/>
    <n v="4"/>
    <n v="45"/>
    <n v="3"/>
    <n v="2"/>
    <n v="2"/>
    <n v="5470"/>
    <n v="25518"/>
    <n v="0"/>
    <n v="13"/>
    <n v="3"/>
    <n v="3"/>
    <n v="80"/>
    <n v="2"/>
    <n v="10"/>
    <n v="2"/>
    <n v="9"/>
    <n v="5"/>
    <n v="1"/>
    <n v="6"/>
  </r>
  <r>
    <s v="No"/>
    <s v="Travel_Rarely"/>
    <x v="1"/>
    <s v="Current Employees"/>
    <x v="1"/>
    <x v="4"/>
    <x v="1160"/>
    <x v="1160"/>
    <x v="1"/>
    <x v="4"/>
    <x v="2"/>
    <s v="No"/>
    <s v="Y"/>
    <n v="4"/>
    <n v="-2"/>
    <n v="0"/>
    <n v="45"/>
    <n v="0"/>
    <m/>
    <n v="0"/>
    <n v="1"/>
    <n v="538"/>
    <n v="1"/>
    <x v="2"/>
    <n v="1"/>
    <n v="4"/>
    <n v="66"/>
    <n v="3"/>
    <n v="3"/>
    <n v="4"/>
    <n v="7441"/>
    <n v="20933"/>
    <n v="1"/>
    <n v="12"/>
    <n v="3"/>
    <n v="1"/>
    <n v="80"/>
    <n v="3"/>
    <n v="10"/>
    <n v="3"/>
    <n v="10"/>
    <n v="8"/>
    <n v="7"/>
    <n v="7"/>
  </r>
  <r>
    <s v="No"/>
    <s v="Travel_Rarely"/>
    <x v="4"/>
    <s v="Current Employees"/>
    <x v="1"/>
    <x v="2"/>
    <x v="1161"/>
    <x v="1161"/>
    <x v="1"/>
    <x v="2"/>
    <x v="2"/>
    <s v="No"/>
    <s v="Y"/>
    <n v="2"/>
    <n v="-2"/>
    <n v="0"/>
    <n v="24"/>
    <n v="0"/>
    <m/>
    <n v="0"/>
    <n v="1"/>
    <n v="506"/>
    <n v="29"/>
    <x v="1"/>
    <n v="1"/>
    <n v="2"/>
    <n v="91"/>
    <n v="3"/>
    <n v="1"/>
    <n v="3"/>
    <n v="3907"/>
    <n v="3622"/>
    <n v="1"/>
    <n v="13"/>
    <n v="3"/>
    <n v="2"/>
    <n v="80"/>
    <n v="3"/>
    <n v="6"/>
    <n v="4"/>
    <n v="6"/>
    <n v="2"/>
    <n v="1"/>
    <n v="2"/>
  </r>
  <r>
    <s v="No"/>
    <s v="Travel_Rarely"/>
    <x v="4"/>
    <s v="Current Employees"/>
    <x v="1"/>
    <x v="4"/>
    <x v="1162"/>
    <x v="1162"/>
    <x v="1"/>
    <x v="2"/>
    <x v="2"/>
    <s v="No"/>
    <s v="Y"/>
    <n v="3"/>
    <n v="-2"/>
    <n v="0"/>
    <n v="24"/>
    <n v="0"/>
    <m/>
    <n v="0"/>
    <n v="1"/>
    <n v="350"/>
    <n v="21"/>
    <x v="0"/>
    <n v="1"/>
    <n v="4"/>
    <n v="57"/>
    <n v="2"/>
    <n v="1"/>
    <n v="4"/>
    <n v="2296"/>
    <n v="10036"/>
    <n v="0"/>
    <n v="14"/>
    <n v="3"/>
    <n v="2"/>
    <n v="80"/>
    <n v="3"/>
    <n v="2"/>
    <n v="3"/>
    <n v="1"/>
    <n v="1"/>
    <n v="0"/>
    <n v="0"/>
  </r>
  <r>
    <s v="No"/>
    <s v="Travel_Rarely"/>
    <x v="0"/>
    <s v="Current Employees"/>
    <x v="1"/>
    <x v="1"/>
    <x v="1163"/>
    <x v="1163"/>
    <x v="1"/>
    <x v="1"/>
    <x v="2"/>
    <s v="No"/>
    <s v="Y"/>
    <n v="2"/>
    <n v="-2"/>
    <n v="0"/>
    <n v="39"/>
    <n v="0"/>
    <m/>
    <n v="0"/>
    <n v="1"/>
    <n v="835"/>
    <n v="19"/>
    <x v="2"/>
    <n v="1"/>
    <n v="4"/>
    <n v="41"/>
    <n v="3"/>
    <n v="2"/>
    <n v="4"/>
    <n v="3902"/>
    <n v="5141"/>
    <n v="8"/>
    <n v="14"/>
    <n v="3"/>
    <n v="2"/>
    <n v="80"/>
    <n v="3"/>
    <n v="7"/>
    <n v="3"/>
    <n v="2"/>
    <n v="2"/>
    <n v="2"/>
    <n v="2"/>
  </r>
  <r>
    <s v="No"/>
    <s v="Travel_Rarely"/>
    <x v="0"/>
    <s v="Current Employees"/>
    <x v="1"/>
    <x v="0"/>
    <x v="1164"/>
    <x v="1164"/>
    <x v="1"/>
    <x v="5"/>
    <x v="1"/>
    <s v="No"/>
    <s v="Y"/>
    <n v="2"/>
    <n v="-2"/>
    <n v="0"/>
    <n v="42"/>
    <n v="0"/>
    <m/>
    <n v="0"/>
    <n v="1"/>
    <n v="300"/>
    <n v="2"/>
    <x v="3"/>
    <n v="1"/>
    <n v="1"/>
    <n v="56"/>
    <n v="3"/>
    <n v="5"/>
    <n v="3"/>
    <n v="18880"/>
    <n v="17312"/>
    <n v="5"/>
    <n v="11"/>
    <n v="3"/>
    <n v="1"/>
    <n v="80"/>
    <n v="0"/>
    <n v="24"/>
    <n v="2"/>
    <n v="22"/>
    <n v="6"/>
    <n v="4"/>
    <n v="14"/>
  </r>
  <r>
    <s v="No"/>
    <s v="Travel_Rarely"/>
    <x v="0"/>
    <s v="Current Employees"/>
    <x v="1"/>
    <x v="2"/>
    <x v="1165"/>
    <x v="1165"/>
    <x v="1"/>
    <x v="1"/>
    <x v="1"/>
    <s v="No"/>
    <s v="Y"/>
    <n v="2"/>
    <n v="-2"/>
    <n v="0"/>
    <n v="37"/>
    <n v="0"/>
    <m/>
    <n v="0"/>
    <n v="1"/>
    <n v="674"/>
    <n v="13"/>
    <x v="3"/>
    <n v="1"/>
    <n v="1"/>
    <n v="47"/>
    <n v="3"/>
    <n v="2"/>
    <n v="4"/>
    <n v="4285"/>
    <n v="3031"/>
    <n v="1"/>
    <n v="17"/>
    <n v="3"/>
    <n v="1"/>
    <n v="80"/>
    <n v="0"/>
    <n v="10"/>
    <n v="3"/>
    <n v="10"/>
    <n v="8"/>
    <n v="3"/>
    <n v="7"/>
  </r>
  <r>
    <s v="No"/>
    <s v="Travel_Rarely"/>
    <x v="2"/>
    <s v="Current Employees"/>
    <x v="1"/>
    <x v="0"/>
    <x v="1166"/>
    <x v="1166"/>
    <x v="1"/>
    <x v="2"/>
    <x v="1"/>
    <s v="No"/>
    <s v="Y"/>
    <n v="3"/>
    <n v="-2"/>
    <n v="0"/>
    <n v="27"/>
    <n v="0"/>
    <m/>
    <n v="0"/>
    <n v="1"/>
    <n v="1377"/>
    <n v="11"/>
    <x v="1"/>
    <n v="1"/>
    <n v="2"/>
    <n v="91"/>
    <n v="3"/>
    <n v="1"/>
    <n v="3"/>
    <n v="2099"/>
    <n v="7679"/>
    <n v="0"/>
    <n v="14"/>
    <n v="3"/>
    <n v="2"/>
    <n v="80"/>
    <n v="0"/>
    <n v="6"/>
    <n v="4"/>
    <n v="5"/>
    <n v="0"/>
    <n v="1"/>
    <n v="4"/>
  </r>
  <r>
    <s v="No"/>
    <s v="Travel_Rarely"/>
    <x v="0"/>
    <s v="Current Employees"/>
    <x v="1"/>
    <x v="0"/>
    <x v="1167"/>
    <x v="1167"/>
    <x v="1"/>
    <x v="1"/>
    <x v="1"/>
    <s v="No"/>
    <s v="Y"/>
    <n v="2"/>
    <n v="-2"/>
    <n v="0"/>
    <n v="35"/>
    <n v="0"/>
    <m/>
    <n v="0"/>
    <n v="1"/>
    <n v="819"/>
    <n v="18"/>
    <x v="4"/>
    <n v="1"/>
    <n v="2"/>
    <n v="48"/>
    <n v="4"/>
    <n v="2"/>
    <n v="3"/>
    <n v="5208"/>
    <n v="26312"/>
    <n v="1"/>
    <n v="11"/>
    <n v="3"/>
    <n v="4"/>
    <n v="80"/>
    <n v="0"/>
    <n v="16"/>
    <n v="3"/>
    <n v="16"/>
    <n v="15"/>
    <n v="1"/>
    <n v="10"/>
  </r>
  <r>
    <s v="No"/>
    <s v="Travel_Rarely"/>
    <x v="2"/>
    <s v="Current Employees"/>
    <x v="1"/>
    <x v="2"/>
    <x v="1168"/>
    <x v="1168"/>
    <x v="1"/>
    <x v="2"/>
    <x v="1"/>
    <s v="No"/>
    <s v="Y"/>
    <n v="3"/>
    <n v="-2"/>
    <n v="0"/>
    <n v="34"/>
    <n v="0"/>
    <m/>
    <n v="0"/>
    <n v="1"/>
    <n v="628"/>
    <n v="8"/>
    <x v="3"/>
    <n v="1"/>
    <n v="2"/>
    <n v="82"/>
    <n v="4"/>
    <n v="2"/>
    <n v="3"/>
    <n v="4404"/>
    <n v="10228"/>
    <n v="2"/>
    <n v="12"/>
    <n v="3"/>
    <n v="1"/>
    <n v="80"/>
    <n v="0"/>
    <n v="6"/>
    <n v="4"/>
    <n v="4"/>
    <n v="3"/>
    <n v="1"/>
    <n v="2"/>
  </r>
  <r>
    <s v="No"/>
    <s v="Travel_Rarely"/>
    <x v="1"/>
    <s v="Current Employees"/>
    <x v="1"/>
    <x v="2"/>
    <x v="1169"/>
    <x v="1169"/>
    <x v="1"/>
    <x v="4"/>
    <x v="1"/>
    <s v="No"/>
    <s v="Y"/>
    <n v="2"/>
    <n v="-2"/>
    <n v="0"/>
    <n v="53"/>
    <n v="0"/>
    <m/>
    <n v="0"/>
    <n v="1"/>
    <n v="1395"/>
    <n v="24"/>
    <x v="2"/>
    <n v="1"/>
    <n v="2"/>
    <n v="48"/>
    <n v="4"/>
    <n v="3"/>
    <n v="4"/>
    <n v="7005"/>
    <n v="3458"/>
    <n v="3"/>
    <n v="15"/>
    <n v="3"/>
    <n v="3"/>
    <n v="80"/>
    <n v="0"/>
    <n v="11"/>
    <n v="3"/>
    <n v="4"/>
    <n v="3"/>
    <n v="1"/>
    <n v="2"/>
  </r>
  <r>
    <s v="No"/>
    <s v="Travel_Rarely"/>
    <x v="1"/>
    <s v="Current Employees"/>
    <x v="1"/>
    <x v="0"/>
    <x v="1170"/>
    <x v="1170"/>
    <x v="1"/>
    <x v="7"/>
    <x v="1"/>
    <s v="No"/>
    <s v="Y"/>
    <n v="3"/>
    <n v="-2"/>
    <n v="0"/>
    <n v="48"/>
    <n v="0"/>
    <m/>
    <n v="0"/>
    <n v="1"/>
    <n v="1224"/>
    <n v="10"/>
    <x v="3"/>
    <n v="1"/>
    <n v="4"/>
    <n v="91"/>
    <n v="2"/>
    <n v="5"/>
    <n v="2"/>
    <n v="19665"/>
    <n v="13583"/>
    <n v="4"/>
    <n v="12"/>
    <n v="3"/>
    <n v="4"/>
    <n v="80"/>
    <n v="0"/>
    <n v="29"/>
    <n v="3"/>
    <n v="22"/>
    <n v="10"/>
    <n v="12"/>
    <n v="9"/>
  </r>
  <r>
    <s v="No"/>
    <s v="Travel_Rarely"/>
    <x v="2"/>
    <s v="Current Employees"/>
    <x v="1"/>
    <x v="2"/>
    <x v="1171"/>
    <x v="1171"/>
    <x v="1"/>
    <x v="2"/>
    <x v="1"/>
    <s v="No"/>
    <s v="Y"/>
    <n v="6"/>
    <n v="-2"/>
    <n v="0"/>
    <n v="30"/>
    <n v="0"/>
    <m/>
    <n v="0"/>
    <n v="1"/>
    <n v="911"/>
    <n v="1"/>
    <x v="0"/>
    <n v="1"/>
    <n v="4"/>
    <n v="76"/>
    <n v="3"/>
    <n v="1"/>
    <n v="2"/>
    <n v="3748"/>
    <n v="4077"/>
    <n v="1"/>
    <n v="13"/>
    <n v="3"/>
    <n v="3"/>
    <n v="80"/>
    <n v="0"/>
    <n v="12"/>
    <n v="2"/>
    <n v="12"/>
    <n v="8"/>
    <n v="1"/>
    <n v="7"/>
  </r>
  <r>
    <s v="No"/>
    <s v="Travel_Rarely"/>
    <x v="2"/>
    <s v="Current Employees"/>
    <x v="1"/>
    <x v="0"/>
    <x v="1172"/>
    <x v="1172"/>
    <x v="1"/>
    <x v="4"/>
    <x v="1"/>
    <s v="No"/>
    <s v="Y"/>
    <n v="5"/>
    <n v="-2"/>
    <n v="0"/>
    <n v="29"/>
    <n v="0"/>
    <m/>
    <n v="0"/>
    <n v="1"/>
    <n v="136"/>
    <n v="1"/>
    <x v="3"/>
    <n v="1"/>
    <n v="1"/>
    <n v="89"/>
    <n v="3"/>
    <n v="2"/>
    <n v="3"/>
    <n v="5373"/>
    <n v="6225"/>
    <n v="0"/>
    <n v="12"/>
    <n v="3"/>
    <n v="1"/>
    <n v="80"/>
    <n v="1"/>
    <n v="6"/>
    <n v="2"/>
    <n v="5"/>
    <n v="3"/>
    <n v="0"/>
    <n v="2"/>
  </r>
  <r>
    <s v="No"/>
    <s v="Travel_Rarely"/>
    <x v="1"/>
    <s v="Current Employees"/>
    <x v="1"/>
    <x v="4"/>
    <x v="1173"/>
    <x v="1173"/>
    <x v="1"/>
    <x v="4"/>
    <x v="1"/>
    <s v="No"/>
    <s v="Y"/>
    <n v="0"/>
    <n v="-2"/>
    <n v="0"/>
    <n v="49"/>
    <n v="0"/>
    <m/>
    <n v="0"/>
    <n v="1"/>
    <n v="1495"/>
    <n v="5"/>
    <x v="2"/>
    <n v="1"/>
    <n v="4"/>
    <n v="96"/>
    <n v="3"/>
    <n v="2"/>
    <n v="4"/>
    <n v="6651"/>
    <n v="21534"/>
    <n v="2"/>
    <n v="14"/>
    <n v="3"/>
    <n v="2"/>
    <n v="80"/>
    <n v="1"/>
    <n v="20"/>
    <n v="2"/>
    <n v="3"/>
    <n v="2"/>
    <n v="1"/>
    <n v="2"/>
  </r>
  <r>
    <s v="No"/>
    <s v="Travel_Rarely"/>
    <x v="0"/>
    <s v="Current Employees"/>
    <x v="1"/>
    <x v="0"/>
    <x v="1174"/>
    <x v="1174"/>
    <x v="1"/>
    <x v="4"/>
    <x v="1"/>
    <s v="No"/>
    <s v="Y"/>
    <n v="1"/>
    <n v="-2"/>
    <n v="0"/>
    <n v="43"/>
    <n v="0"/>
    <m/>
    <n v="0"/>
    <n v="1"/>
    <n v="574"/>
    <n v="11"/>
    <x v="3"/>
    <n v="1"/>
    <n v="1"/>
    <n v="30"/>
    <n v="3"/>
    <n v="3"/>
    <n v="3"/>
    <n v="7510"/>
    <n v="16873"/>
    <n v="1"/>
    <n v="17"/>
    <n v="3"/>
    <n v="2"/>
    <n v="80"/>
    <n v="1"/>
    <n v="10"/>
    <n v="3"/>
    <n v="10"/>
    <n v="9"/>
    <n v="0"/>
    <n v="9"/>
  </r>
  <r>
    <s v="No"/>
    <s v="Travel_Rarely"/>
    <x v="2"/>
    <s v="Current Employees"/>
    <x v="1"/>
    <x v="4"/>
    <x v="1175"/>
    <x v="1175"/>
    <x v="1"/>
    <x v="2"/>
    <x v="1"/>
    <s v="No"/>
    <s v="Y"/>
    <n v="2"/>
    <n v="-2"/>
    <n v="0"/>
    <n v="25"/>
    <n v="0"/>
    <m/>
    <n v="0"/>
    <n v="1"/>
    <n v="949"/>
    <n v="1"/>
    <x v="3"/>
    <n v="1"/>
    <n v="4"/>
    <n v="81"/>
    <n v="3"/>
    <n v="1"/>
    <n v="4"/>
    <n v="3229"/>
    <n v="4910"/>
    <n v="4"/>
    <n v="11"/>
    <n v="3"/>
    <n v="2"/>
    <n v="80"/>
    <n v="1"/>
    <n v="7"/>
    <n v="2"/>
    <n v="3"/>
    <n v="2"/>
    <n v="0"/>
    <n v="2"/>
  </r>
  <r>
    <s v="No"/>
    <s v="Travel_Rarely"/>
    <x v="1"/>
    <s v="Current Employees"/>
    <x v="1"/>
    <x v="4"/>
    <x v="1176"/>
    <x v="1176"/>
    <x v="1"/>
    <x v="1"/>
    <x v="1"/>
    <s v="No"/>
    <s v="Y"/>
    <n v="2"/>
    <n v="-2"/>
    <n v="0"/>
    <n v="47"/>
    <n v="0"/>
    <m/>
    <n v="0"/>
    <n v="1"/>
    <n v="465"/>
    <n v="1"/>
    <x v="3"/>
    <n v="1"/>
    <n v="4"/>
    <n v="74"/>
    <n v="3"/>
    <n v="1"/>
    <n v="4"/>
    <n v="3420"/>
    <n v="10205"/>
    <n v="7"/>
    <n v="12"/>
    <n v="3"/>
    <n v="3"/>
    <n v="80"/>
    <n v="1"/>
    <n v="17"/>
    <n v="2"/>
    <n v="6"/>
    <n v="5"/>
    <n v="1"/>
    <n v="2"/>
  </r>
  <r>
    <s v="No"/>
    <s v="Travel_Rarely"/>
    <x v="0"/>
    <s v="Current Employees"/>
    <x v="1"/>
    <x v="2"/>
    <x v="1177"/>
    <x v="1177"/>
    <x v="1"/>
    <x v="2"/>
    <x v="1"/>
    <s v="No"/>
    <s v="Y"/>
    <n v="2"/>
    <n v="-2"/>
    <n v="0"/>
    <n v="35"/>
    <n v="0"/>
    <m/>
    <n v="0"/>
    <n v="1"/>
    <n v="185"/>
    <n v="23"/>
    <x v="2"/>
    <n v="1"/>
    <n v="2"/>
    <n v="91"/>
    <n v="1"/>
    <n v="1"/>
    <n v="3"/>
    <n v="2705"/>
    <n v="9696"/>
    <n v="0"/>
    <n v="16"/>
    <n v="3"/>
    <n v="2"/>
    <n v="80"/>
    <n v="1"/>
    <n v="6"/>
    <n v="4"/>
    <n v="5"/>
    <n v="4"/>
    <n v="0"/>
    <n v="3"/>
  </r>
  <r>
    <s v="No"/>
    <s v="Travel_Rarely"/>
    <x v="2"/>
    <s v="Current Employees"/>
    <x v="1"/>
    <x v="2"/>
    <x v="1178"/>
    <x v="1178"/>
    <x v="1"/>
    <x v="1"/>
    <x v="1"/>
    <s v="No"/>
    <s v="Y"/>
    <n v="3"/>
    <n v="-2"/>
    <n v="0"/>
    <n v="30"/>
    <n v="0"/>
    <m/>
    <n v="0"/>
    <n v="1"/>
    <n v="241"/>
    <n v="7"/>
    <x v="3"/>
    <n v="1"/>
    <n v="2"/>
    <n v="48"/>
    <n v="2"/>
    <n v="1"/>
    <n v="2"/>
    <n v="2141"/>
    <n v="5348"/>
    <n v="1"/>
    <n v="12"/>
    <n v="3"/>
    <n v="2"/>
    <n v="80"/>
    <n v="1"/>
    <n v="6"/>
    <n v="2"/>
    <n v="6"/>
    <n v="4"/>
    <n v="1"/>
    <n v="1"/>
  </r>
  <r>
    <s v="No"/>
    <s v="Travel_Rarely"/>
    <x v="2"/>
    <s v="Current Employees"/>
    <x v="1"/>
    <x v="2"/>
    <x v="1179"/>
    <x v="1179"/>
    <x v="1"/>
    <x v="2"/>
    <x v="1"/>
    <s v="No"/>
    <s v="Y"/>
    <n v="3"/>
    <n v="-2"/>
    <n v="0"/>
    <n v="34"/>
    <n v="0"/>
    <m/>
    <n v="0"/>
    <n v="1"/>
    <n v="1157"/>
    <n v="5"/>
    <x v="0"/>
    <n v="1"/>
    <n v="2"/>
    <n v="57"/>
    <n v="2"/>
    <n v="2"/>
    <n v="4"/>
    <n v="3986"/>
    <n v="11912"/>
    <n v="1"/>
    <n v="14"/>
    <n v="3"/>
    <n v="3"/>
    <n v="80"/>
    <n v="1"/>
    <n v="15"/>
    <n v="4"/>
    <n v="15"/>
    <n v="10"/>
    <n v="4"/>
    <n v="13"/>
  </r>
  <r>
    <s v="No"/>
    <s v="Travel_Rarely"/>
    <x v="2"/>
    <s v="Current Employees"/>
    <x v="1"/>
    <x v="4"/>
    <x v="1180"/>
    <x v="1180"/>
    <x v="1"/>
    <x v="1"/>
    <x v="1"/>
    <s v="No"/>
    <s v="Y"/>
    <n v="3"/>
    <n v="-2"/>
    <n v="0"/>
    <n v="27"/>
    <n v="0"/>
    <m/>
    <n v="0"/>
    <n v="1"/>
    <n v="1354"/>
    <n v="2"/>
    <x v="2"/>
    <n v="1"/>
    <n v="4"/>
    <n v="41"/>
    <n v="3"/>
    <n v="1"/>
    <n v="4"/>
    <n v="2226"/>
    <n v="6073"/>
    <n v="1"/>
    <n v="11"/>
    <n v="3"/>
    <n v="3"/>
    <n v="80"/>
    <n v="1"/>
    <n v="6"/>
    <n v="2"/>
    <n v="5"/>
    <n v="3"/>
    <n v="1"/>
    <n v="2"/>
  </r>
  <r>
    <s v="No"/>
    <s v="Travel_Rarely"/>
    <x v="2"/>
    <s v="Current Employees"/>
    <x v="1"/>
    <x v="0"/>
    <x v="1181"/>
    <x v="1181"/>
    <x v="1"/>
    <x v="2"/>
    <x v="1"/>
    <s v="No"/>
    <s v="Y"/>
    <n v="2"/>
    <n v="-2"/>
    <n v="0"/>
    <n v="31"/>
    <n v="0"/>
    <m/>
    <n v="0"/>
    <n v="1"/>
    <n v="741"/>
    <n v="2"/>
    <x v="2"/>
    <n v="1"/>
    <n v="2"/>
    <n v="69"/>
    <n v="3"/>
    <n v="1"/>
    <n v="3"/>
    <n v="3477"/>
    <n v="18103"/>
    <n v="1"/>
    <n v="14"/>
    <n v="3"/>
    <n v="4"/>
    <n v="80"/>
    <n v="1"/>
    <n v="6"/>
    <n v="4"/>
    <n v="5"/>
    <n v="2"/>
    <n v="0"/>
    <n v="3"/>
  </r>
  <r>
    <s v="No"/>
    <s v="Travel_Rarely"/>
    <x v="2"/>
    <s v="Current Employees"/>
    <x v="1"/>
    <x v="0"/>
    <x v="1182"/>
    <x v="1182"/>
    <x v="1"/>
    <x v="1"/>
    <x v="1"/>
    <s v="No"/>
    <s v="Y"/>
    <n v="2"/>
    <n v="-2"/>
    <n v="0"/>
    <n v="30"/>
    <n v="0"/>
    <m/>
    <n v="0"/>
    <n v="1"/>
    <n v="793"/>
    <n v="16"/>
    <x v="1"/>
    <n v="1"/>
    <n v="2"/>
    <n v="33"/>
    <n v="3"/>
    <n v="1"/>
    <n v="4"/>
    <n v="2862"/>
    <n v="3811"/>
    <n v="1"/>
    <n v="12"/>
    <n v="3"/>
    <n v="2"/>
    <n v="80"/>
    <n v="1"/>
    <n v="10"/>
    <n v="2"/>
    <n v="10"/>
    <n v="0"/>
    <n v="0"/>
    <n v="8"/>
  </r>
  <r>
    <s v="No"/>
    <s v="Travel_Rarely"/>
    <x v="2"/>
    <s v="Current Employees"/>
    <x v="1"/>
    <x v="0"/>
    <x v="1183"/>
    <x v="1183"/>
    <x v="1"/>
    <x v="1"/>
    <x v="1"/>
    <s v="No"/>
    <s v="Y"/>
    <n v="3"/>
    <n v="-2"/>
    <n v="0"/>
    <n v="34"/>
    <n v="0"/>
    <m/>
    <n v="0"/>
    <n v="1"/>
    <n v="1351"/>
    <n v="1"/>
    <x v="2"/>
    <n v="1"/>
    <n v="2"/>
    <n v="45"/>
    <n v="3"/>
    <n v="2"/>
    <n v="4"/>
    <n v="5484"/>
    <n v="13008"/>
    <n v="9"/>
    <n v="17"/>
    <n v="3"/>
    <n v="2"/>
    <n v="80"/>
    <n v="1"/>
    <n v="9"/>
    <n v="2"/>
    <n v="2"/>
    <n v="2"/>
    <n v="2"/>
    <n v="1"/>
  </r>
  <r>
    <s v="No"/>
    <s v="Travel_Rarely"/>
    <x v="0"/>
    <s v="Current Employees"/>
    <x v="1"/>
    <x v="0"/>
    <x v="1184"/>
    <x v="1184"/>
    <x v="1"/>
    <x v="4"/>
    <x v="1"/>
    <s v="No"/>
    <s v="Y"/>
    <n v="5"/>
    <n v="-2"/>
    <n v="0"/>
    <n v="44"/>
    <n v="0"/>
    <m/>
    <n v="0"/>
    <n v="1"/>
    <n v="170"/>
    <n v="1"/>
    <x v="2"/>
    <n v="1"/>
    <n v="2"/>
    <n v="78"/>
    <n v="4"/>
    <n v="2"/>
    <n v="3"/>
    <n v="5033"/>
    <n v="9364"/>
    <n v="2"/>
    <n v="15"/>
    <n v="3"/>
    <n v="4"/>
    <n v="80"/>
    <n v="1"/>
    <n v="10"/>
    <n v="3"/>
    <n v="2"/>
    <n v="0"/>
    <n v="2"/>
    <n v="2"/>
  </r>
  <r>
    <s v="No"/>
    <s v="Travel_Rarely"/>
    <x v="0"/>
    <s v="Current Employees"/>
    <x v="1"/>
    <x v="2"/>
    <x v="1185"/>
    <x v="1185"/>
    <x v="1"/>
    <x v="2"/>
    <x v="1"/>
    <s v="No"/>
    <s v="Y"/>
    <n v="3"/>
    <n v="-2"/>
    <n v="0"/>
    <n v="42"/>
    <n v="0"/>
    <m/>
    <n v="0"/>
    <n v="1"/>
    <n v="1210"/>
    <n v="2"/>
    <x v="3"/>
    <n v="1"/>
    <n v="3"/>
    <n v="68"/>
    <n v="2"/>
    <n v="1"/>
    <n v="2"/>
    <n v="4841"/>
    <n v="24052"/>
    <n v="4"/>
    <n v="14"/>
    <n v="3"/>
    <n v="2"/>
    <n v="80"/>
    <n v="1"/>
    <n v="4"/>
    <n v="3"/>
    <n v="1"/>
    <n v="0"/>
    <n v="0"/>
    <n v="0"/>
  </r>
  <r>
    <s v="No"/>
    <s v="Travel_Rarely"/>
    <x v="0"/>
    <s v="Current Employees"/>
    <x v="1"/>
    <x v="0"/>
    <x v="1186"/>
    <x v="1186"/>
    <x v="1"/>
    <x v="2"/>
    <x v="1"/>
    <s v="No"/>
    <s v="Y"/>
    <n v="5"/>
    <n v="-2"/>
    <n v="0"/>
    <n v="35"/>
    <n v="0"/>
    <m/>
    <n v="0"/>
    <n v="1"/>
    <n v="1349"/>
    <n v="7"/>
    <x v="0"/>
    <n v="1"/>
    <n v="3"/>
    <n v="63"/>
    <n v="2"/>
    <n v="1"/>
    <n v="4"/>
    <n v="2690"/>
    <n v="7713"/>
    <n v="1"/>
    <n v="18"/>
    <n v="3"/>
    <n v="4"/>
    <n v="80"/>
    <n v="1"/>
    <n v="1"/>
    <n v="2"/>
    <n v="1"/>
    <n v="0"/>
    <n v="0"/>
    <n v="1"/>
  </r>
  <r>
    <s v="No"/>
    <s v="Travel_Rarely"/>
    <x v="0"/>
    <s v="Current Employees"/>
    <x v="1"/>
    <x v="2"/>
    <x v="1187"/>
    <x v="1187"/>
    <x v="1"/>
    <x v="7"/>
    <x v="1"/>
    <s v="No"/>
    <s v="Y"/>
    <n v="3"/>
    <n v="-2"/>
    <n v="0"/>
    <n v="42"/>
    <n v="0"/>
    <m/>
    <n v="0"/>
    <n v="1"/>
    <n v="1396"/>
    <n v="6"/>
    <x v="3"/>
    <n v="1"/>
    <n v="3"/>
    <n v="83"/>
    <n v="3"/>
    <n v="3"/>
    <n v="3"/>
    <n v="13348"/>
    <n v="14842"/>
    <n v="9"/>
    <n v="13"/>
    <n v="3"/>
    <n v="2"/>
    <n v="80"/>
    <n v="1"/>
    <n v="18"/>
    <n v="4"/>
    <n v="13"/>
    <n v="7"/>
    <n v="5"/>
    <n v="7"/>
  </r>
  <r>
    <s v="No"/>
    <s v="Travel_Rarely"/>
    <x v="2"/>
    <s v="Current Employees"/>
    <x v="1"/>
    <x v="0"/>
    <x v="1188"/>
    <x v="1188"/>
    <x v="1"/>
    <x v="1"/>
    <x v="1"/>
    <s v="No"/>
    <s v="Y"/>
    <n v="6"/>
    <n v="-2"/>
    <n v="0"/>
    <n v="28"/>
    <n v="0"/>
    <m/>
    <n v="0"/>
    <n v="1"/>
    <n v="1181"/>
    <n v="1"/>
    <x v="3"/>
    <n v="1"/>
    <n v="3"/>
    <n v="82"/>
    <n v="3"/>
    <n v="1"/>
    <n v="4"/>
    <n v="2044"/>
    <n v="5531"/>
    <n v="1"/>
    <n v="11"/>
    <n v="3"/>
    <n v="3"/>
    <n v="80"/>
    <n v="1"/>
    <n v="5"/>
    <n v="4"/>
    <n v="5"/>
    <n v="3"/>
    <n v="0"/>
    <n v="3"/>
  </r>
  <r>
    <s v="No"/>
    <s v="Travel_Rarely"/>
    <x v="2"/>
    <s v="Current Employees"/>
    <x v="1"/>
    <x v="0"/>
    <x v="1189"/>
    <x v="1189"/>
    <x v="1"/>
    <x v="4"/>
    <x v="1"/>
    <s v="No"/>
    <s v="Y"/>
    <n v="3"/>
    <n v="-2"/>
    <n v="0"/>
    <n v="30"/>
    <n v="0"/>
    <m/>
    <n v="0"/>
    <n v="1"/>
    <n v="305"/>
    <n v="16"/>
    <x v="3"/>
    <n v="1"/>
    <n v="3"/>
    <n v="58"/>
    <n v="4"/>
    <n v="2"/>
    <n v="3"/>
    <n v="5294"/>
    <n v="9128"/>
    <n v="3"/>
    <n v="16"/>
    <n v="3"/>
    <n v="3"/>
    <n v="80"/>
    <n v="1"/>
    <n v="10"/>
    <n v="3"/>
    <n v="7"/>
    <n v="0"/>
    <n v="1"/>
    <n v="7"/>
  </r>
  <r>
    <s v="No"/>
    <s v="Travel_Rarely"/>
    <x v="4"/>
    <s v="Current Employees"/>
    <x v="1"/>
    <x v="2"/>
    <x v="1190"/>
    <x v="1190"/>
    <x v="1"/>
    <x v="1"/>
    <x v="1"/>
    <s v="No"/>
    <s v="Y"/>
    <n v="1"/>
    <n v="-2"/>
    <n v="0"/>
    <n v="24"/>
    <n v="0"/>
    <m/>
    <n v="0"/>
    <n v="1"/>
    <n v="581"/>
    <n v="9"/>
    <x v="3"/>
    <n v="1"/>
    <n v="3"/>
    <n v="62"/>
    <n v="4"/>
    <n v="1"/>
    <n v="3"/>
    <n v="4401"/>
    <n v="17616"/>
    <n v="1"/>
    <n v="16"/>
    <n v="3"/>
    <n v="4"/>
    <n v="80"/>
    <n v="1"/>
    <n v="5"/>
    <n v="3"/>
    <n v="5"/>
    <n v="3"/>
    <n v="0"/>
    <n v="4"/>
  </r>
  <r>
    <s v="No"/>
    <s v="Travel_Rarely"/>
    <x v="0"/>
    <s v="Current Employees"/>
    <x v="1"/>
    <x v="2"/>
    <x v="1191"/>
    <x v="1191"/>
    <x v="1"/>
    <x v="4"/>
    <x v="1"/>
    <s v="No"/>
    <s v="Y"/>
    <n v="5"/>
    <n v="-2"/>
    <n v="0"/>
    <n v="39"/>
    <n v="0"/>
    <m/>
    <n v="0"/>
    <n v="1"/>
    <n v="613"/>
    <n v="6"/>
    <x v="1"/>
    <n v="1"/>
    <n v="4"/>
    <n v="42"/>
    <n v="2"/>
    <n v="3"/>
    <n v="3"/>
    <n v="9991"/>
    <n v="21457"/>
    <n v="4"/>
    <n v="15"/>
    <n v="3"/>
    <n v="1"/>
    <n v="80"/>
    <n v="1"/>
    <n v="9"/>
    <n v="3"/>
    <n v="7"/>
    <n v="7"/>
    <n v="1"/>
    <n v="7"/>
  </r>
  <r>
    <s v="No"/>
    <s v="Travel_Rarely"/>
    <x v="0"/>
    <s v="Current Employees"/>
    <x v="1"/>
    <x v="0"/>
    <x v="1192"/>
    <x v="1192"/>
    <x v="1"/>
    <x v="7"/>
    <x v="1"/>
    <s v="No"/>
    <s v="Y"/>
    <n v="1"/>
    <n v="-2"/>
    <n v="0"/>
    <n v="44"/>
    <n v="0"/>
    <m/>
    <n v="0"/>
    <n v="1"/>
    <n v="136"/>
    <n v="28"/>
    <x v="3"/>
    <n v="1"/>
    <n v="4"/>
    <n v="32"/>
    <n v="3"/>
    <n v="4"/>
    <n v="3"/>
    <n v="16328"/>
    <n v="22074"/>
    <n v="3"/>
    <n v="13"/>
    <n v="3"/>
    <n v="3"/>
    <n v="80"/>
    <n v="1"/>
    <n v="24"/>
    <n v="4"/>
    <n v="20"/>
    <n v="6"/>
    <n v="14"/>
    <n v="17"/>
  </r>
  <r>
    <s v="No"/>
    <s v="Travel_Rarely"/>
    <x v="0"/>
    <s v="Current Employees"/>
    <x v="1"/>
    <x v="0"/>
    <x v="1193"/>
    <x v="1193"/>
    <x v="1"/>
    <x v="3"/>
    <x v="1"/>
    <s v="No"/>
    <s v="Y"/>
    <n v="3"/>
    <n v="-2"/>
    <n v="0"/>
    <n v="35"/>
    <n v="0"/>
    <m/>
    <n v="0"/>
    <n v="1"/>
    <n v="1370"/>
    <n v="27"/>
    <x v="2"/>
    <n v="1"/>
    <n v="4"/>
    <n v="49"/>
    <n v="3"/>
    <n v="2"/>
    <n v="3"/>
    <n v="6883"/>
    <n v="5151"/>
    <n v="2"/>
    <n v="16"/>
    <n v="3"/>
    <n v="2"/>
    <n v="80"/>
    <n v="1"/>
    <n v="17"/>
    <n v="3"/>
    <n v="7"/>
    <n v="7"/>
    <n v="0"/>
    <n v="7"/>
  </r>
  <r>
    <s v="No"/>
    <s v="Travel_Rarely"/>
    <x v="2"/>
    <s v="Current Employees"/>
    <x v="1"/>
    <x v="0"/>
    <x v="1194"/>
    <x v="1194"/>
    <x v="1"/>
    <x v="1"/>
    <x v="1"/>
    <s v="No"/>
    <s v="Y"/>
    <n v="1"/>
    <n v="-2"/>
    <n v="0"/>
    <n v="33"/>
    <n v="0"/>
    <m/>
    <n v="0"/>
    <n v="1"/>
    <n v="867"/>
    <n v="8"/>
    <x v="2"/>
    <n v="1"/>
    <n v="4"/>
    <n v="90"/>
    <n v="4"/>
    <n v="1"/>
    <n v="3"/>
    <n v="3143"/>
    <n v="6076"/>
    <n v="6"/>
    <n v="19"/>
    <n v="3"/>
    <n v="2"/>
    <n v="80"/>
    <n v="1"/>
    <n v="14"/>
    <n v="3"/>
    <n v="10"/>
    <n v="8"/>
    <n v="7"/>
    <n v="6"/>
  </r>
  <r>
    <s v="No"/>
    <s v="Travel_Rarely"/>
    <x v="4"/>
    <s v="Current Employees"/>
    <x v="1"/>
    <x v="4"/>
    <x v="1195"/>
    <x v="1195"/>
    <x v="1"/>
    <x v="1"/>
    <x v="1"/>
    <s v="No"/>
    <s v="Y"/>
    <n v="2"/>
    <n v="-2"/>
    <n v="0"/>
    <n v="23"/>
    <n v="0"/>
    <m/>
    <n v="0"/>
    <n v="1"/>
    <n v="977"/>
    <n v="10"/>
    <x v="3"/>
    <n v="1"/>
    <n v="4"/>
    <n v="45"/>
    <n v="4"/>
    <n v="1"/>
    <n v="4"/>
    <n v="2073"/>
    <n v="12826"/>
    <n v="2"/>
    <n v="16"/>
    <n v="3"/>
    <n v="4"/>
    <n v="80"/>
    <n v="1"/>
    <n v="4"/>
    <n v="3"/>
    <n v="2"/>
    <n v="2"/>
    <n v="2"/>
    <n v="2"/>
  </r>
  <r>
    <s v="No"/>
    <s v="Travel_Rarely"/>
    <x v="0"/>
    <s v="Current Employees"/>
    <x v="1"/>
    <x v="0"/>
    <x v="1196"/>
    <x v="1196"/>
    <x v="1"/>
    <x v="4"/>
    <x v="1"/>
    <s v="No"/>
    <s v="Y"/>
    <n v="2"/>
    <n v="-2"/>
    <n v="0"/>
    <n v="36"/>
    <n v="0"/>
    <m/>
    <n v="0"/>
    <n v="1"/>
    <n v="1351"/>
    <n v="26"/>
    <x v="2"/>
    <n v="1"/>
    <n v="1"/>
    <n v="80"/>
    <n v="3"/>
    <n v="2"/>
    <n v="3"/>
    <n v="5347"/>
    <n v="7419"/>
    <n v="6"/>
    <n v="14"/>
    <n v="3"/>
    <n v="2"/>
    <n v="80"/>
    <n v="2"/>
    <n v="10"/>
    <n v="2"/>
    <n v="3"/>
    <n v="2"/>
    <n v="0"/>
    <n v="2"/>
  </r>
  <r>
    <s v="No"/>
    <s v="Travel_Rarely"/>
    <x v="0"/>
    <s v="Current Employees"/>
    <x v="1"/>
    <x v="0"/>
    <x v="1197"/>
    <x v="1197"/>
    <x v="1"/>
    <x v="2"/>
    <x v="1"/>
    <s v="No"/>
    <s v="Y"/>
    <n v="3"/>
    <n v="-2"/>
    <n v="0"/>
    <n v="40"/>
    <n v="0"/>
    <m/>
    <n v="0"/>
    <n v="1"/>
    <n v="543"/>
    <n v="1"/>
    <x v="2"/>
    <n v="1"/>
    <n v="1"/>
    <n v="83"/>
    <n v="3"/>
    <n v="1"/>
    <n v="4"/>
    <n v="2406"/>
    <n v="4060"/>
    <n v="8"/>
    <n v="19"/>
    <n v="3"/>
    <n v="3"/>
    <n v="80"/>
    <n v="2"/>
    <n v="8"/>
    <n v="2"/>
    <n v="1"/>
    <n v="0"/>
    <n v="0"/>
    <n v="0"/>
  </r>
  <r>
    <s v="No"/>
    <s v="Travel_Rarely"/>
    <x v="0"/>
    <s v="Current Employees"/>
    <x v="1"/>
    <x v="2"/>
    <x v="1198"/>
    <x v="1198"/>
    <x v="1"/>
    <x v="4"/>
    <x v="1"/>
    <s v="No"/>
    <s v="Y"/>
    <n v="2"/>
    <n v="-2"/>
    <n v="0"/>
    <n v="42"/>
    <n v="0"/>
    <m/>
    <n v="0"/>
    <n v="1"/>
    <n v="1128"/>
    <n v="13"/>
    <x v="3"/>
    <n v="1"/>
    <n v="2"/>
    <n v="95"/>
    <n v="4"/>
    <n v="2"/>
    <n v="3"/>
    <n v="5538"/>
    <n v="5696"/>
    <n v="5"/>
    <n v="18"/>
    <n v="3"/>
    <n v="3"/>
    <n v="80"/>
    <n v="2"/>
    <n v="10"/>
    <n v="2"/>
    <n v="0"/>
    <n v="0"/>
    <n v="0"/>
    <n v="0"/>
  </r>
  <r>
    <s v="No"/>
    <s v="Travel_Rarely"/>
    <x v="0"/>
    <s v="Current Employees"/>
    <x v="1"/>
    <x v="0"/>
    <x v="1199"/>
    <x v="1199"/>
    <x v="1"/>
    <x v="2"/>
    <x v="1"/>
    <s v="No"/>
    <s v="Y"/>
    <n v="3"/>
    <n v="-2"/>
    <n v="0"/>
    <n v="35"/>
    <n v="0"/>
    <m/>
    <n v="0"/>
    <n v="1"/>
    <n v="750"/>
    <n v="28"/>
    <x v="3"/>
    <n v="1"/>
    <n v="2"/>
    <n v="46"/>
    <n v="4"/>
    <n v="2"/>
    <n v="3"/>
    <n v="3407"/>
    <n v="25348"/>
    <n v="1"/>
    <n v="17"/>
    <n v="3"/>
    <n v="4"/>
    <n v="80"/>
    <n v="2"/>
    <n v="10"/>
    <n v="2"/>
    <n v="10"/>
    <n v="9"/>
    <n v="6"/>
    <n v="8"/>
  </r>
  <r>
    <s v="No"/>
    <s v="Travel_Rarely"/>
    <x v="2"/>
    <s v="Current Employees"/>
    <x v="1"/>
    <x v="0"/>
    <x v="1200"/>
    <x v="1200"/>
    <x v="1"/>
    <x v="3"/>
    <x v="1"/>
    <s v="No"/>
    <s v="Y"/>
    <n v="2"/>
    <n v="-2"/>
    <n v="0"/>
    <n v="28"/>
    <n v="0"/>
    <m/>
    <n v="0"/>
    <n v="1"/>
    <n v="1083"/>
    <n v="29"/>
    <x v="1"/>
    <n v="1"/>
    <n v="3"/>
    <n v="96"/>
    <n v="1"/>
    <n v="2"/>
    <n v="2"/>
    <n v="6549"/>
    <n v="3173"/>
    <n v="1"/>
    <n v="14"/>
    <n v="3"/>
    <n v="2"/>
    <n v="80"/>
    <n v="2"/>
    <n v="8"/>
    <n v="2"/>
    <n v="8"/>
    <n v="6"/>
    <n v="1"/>
    <n v="7"/>
  </r>
  <r>
    <s v="No"/>
    <s v="Travel_Rarely"/>
    <x v="2"/>
    <s v="Current Employees"/>
    <x v="1"/>
    <x v="0"/>
    <x v="1201"/>
    <x v="1201"/>
    <x v="1"/>
    <x v="1"/>
    <x v="1"/>
    <s v="No"/>
    <s v="Y"/>
    <n v="2"/>
    <n v="-2"/>
    <n v="0"/>
    <n v="29"/>
    <n v="0"/>
    <m/>
    <n v="0"/>
    <n v="1"/>
    <n v="598"/>
    <n v="9"/>
    <x v="3"/>
    <n v="1"/>
    <n v="3"/>
    <n v="91"/>
    <n v="4"/>
    <n v="1"/>
    <n v="3"/>
    <n v="2451"/>
    <n v="22376"/>
    <n v="6"/>
    <n v="18"/>
    <n v="3"/>
    <n v="1"/>
    <n v="80"/>
    <n v="2"/>
    <n v="5"/>
    <n v="2"/>
    <n v="1"/>
    <n v="0"/>
    <n v="0"/>
    <n v="0"/>
  </r>
  <r>
    <s v="No"/>
    <s v="Travel_Rarely"/>
    <x v="0"/>
    <s v="Current Employees"/>
    <x v="1"/>
    <x v="2"/>
    <x v="1202"/>
    <x v="1202"/>
    <x v="1"/>
    <x v="3"/>
    <x v="1"/>
    <s v="No"/>
    <s v="Y"/>
    <n v="3"/>
    <n v="-2"/>
    <n v="0"/>
    <n v="39"/>
    <n v="0"/>
    <m/>
    <n v="0"/>
    <n v="1"/>
    <n v="1387"/>
    <n v="10"/>
    <x v="4"/>
    <n v="1"/>
    <n v="2"/>
    <n v="76"/>
    <n v="3"/>
    <n v="2"/>
    <n v="1"/>
    <n v="5377"/>
    <n v="3835"/>
    <n v="2"/>
    <n v="13"/>
    <n v="3"/>
    <n v="4"/>
    <n v="80"/>
    <n v="3"/>
    <n v="10"/>
    <n v="3"/>
    <n v="7"/>
    <n v="7"/>
    <n v="7"/>
    <n v="7"/>
  </r>
  <r>
    <s v="No"/>
    <s v="Travel_Rarely"/>
    <x v="2"/>
    <s v="Current Employees"/>
    <x v="1"/>
    <x v="2"/>
    <x v="1203"/>
    <x v="1203"/>
    <x v="1"/>
    <x v="2"/>
    <x v="1"/>
    <s v="No"/>
    <s v="Y"/>
    <n v="6"/>
    <n v="-2"/>
    <n v="0"/>
    <n v="33"/>
    <n v="0"/>
    <m/>
    <n v="0"/>
    <n v="1"/>
    <n v="267"/>
    <n v="21"/>
    <x v="3"/>
    <n v="1"/>
    <n v="2"/>
    <n v="79"/>
    <n v="4"/>
    <n v="1"/>
    <n v="2"/>
    <n v="2028"/>
    <n v="13637"/>
    <n v="1"/>
    <n v="18"/>
    <n v="3"/>
    <n v="4"/>
    <n v="80"/>
    <n v="3"/>
    <n v="14"/>
    <n v="3"/>
    <n v="14"/>
    <n v="11"/>
    <n v="2"/>
    <n v="13"/>
  </r>
  <r>
    <s v="No"/>
    <s v="Travel_Rarely"/>
    <x v="3"/>
    <s v="Current Employees"/>
    <x v="1"/>
    <x v="2"/>
    <x v="1204"/>
    <x v="1204"/>
    <x v="1"/>
    <x v="7"/>
    <x v="1"/>
    <s v="No"/>
    <s v="Y"/>
    <n v="2"/>
    <n v="-2"/>
    <n v="0"/>
    <n v="55"/>
    <n v="0"/>
    <m/>
    <n v="0"/>
    <n v="1"/>
    <n v="478"/>
    <n v="2"/>
    <x v="3"/>
    <n v="1"/>
    <n v="3"/>
    <n v="60"/>
    <n v="2"/>
    <n v="5"/>
    <n v="1"/>
    <n v="19038"/>
    <n v="19805"/>
    <n v="8"/>
    <n v="12"/>
    <n v="3"/>
    <n v="2"/>
    <n v="80"/>
    <n v="3"/>
    <n v="34"/>
    <n v="3"/>
    <n v="1"/>
    <n v="0"/>
    <n v="0"/>
    <n v="0"/>
  </r>
  <r>
    <s v="No"/>
    <s v="Travel_Rarely"/>
    <x v="0"/>
    <s v="Current Employees"/>
    <x v="1"/>
    <x v="0"/>
    <x v="1205"/>
    <x v="1205"/>
    <x v="1"/>
    <x v="3"/>
    <x v="1"/>
    <s v="No"/>
    <s v="Y"/>
    <n v="2"/>
    <n v="-2"/>
    <n v="0"/>
    <n v="37"/>
    <n v="0"/>
    <m/>
    <n v="0"/>
    <n v="1"/>
    <n v="671"/>
    <n v="19"/>
    <x v="3"/>
    <n v="1"/>
    <n v="3"/>
    <n v="85"/>
    <n v="3"/>
    <n v="2"/>
    <n v="3"/>
    <n v="5768"/>
    <n v="26493"/>
    <n v="3"/>
    <n v="17"/>
    <n v="3"/>
    <n v="1"/>
    <n v="80"/>
    <n v="3"/>
    <n v="9"/>
    <n v="2"/>
    <n v="4"/>
    <n v="3"/>
    <n v="0"/>
    <n v="2"/>
  </r>
  <r>
    <s v="No"/>
    <s v="Travel_Rarely"/>
    <x v="2"/>
    <s v="Current Employees"/>
    <x v="1"/>
    <x v="2"/>
    <x v="1206"/>
    <x v="1206"/>
    <x v="1"/>
    <x v="2"/>
    <x v="1"/>
    <s v="No"/>
    <s v="Y"/>
    <n v="3"/>
    <n v="-2"/>
    <n v="0"/>
    <n v="26"/>
    <n v="0"/>
    <m/>
    <n v="0"/>
    <n v="1"/>
    <n v="390"/>
    <n v="17"/>
    <x v="2"/>
    <n v="1"/>
    <n v="4"/>
    <n v="62"/>
    <n v="1"/>
    <n v="1"/>
    <n v="3"/>
    <n v="2305"/>
    <n v="6217"/>
    <n v="1"/>
    <n v="15"/>
    <n v="3"/>
    <n v="3"/>
    <n v="80"/>
    <n v="3"/>
    <n v="3"/>
    <n v="4"/>
    <n v="3"/>
    <n v="2"/>
    <n v="0"/>
    <n v="2"/>
  </r>
  <r>
    <s v="No"/>
    <s v="Travel_Rarely"/>
    <x v="0"/>
    <s v="Current Employees"/>
    <x v="1"/>
    <x v="0"/>
    <x v="1207"/>
    <x v="1207"/>
    <x v="1"/>
    <x v="2"/>
    <x v="0"/>
    <s v="No"/>
    <s v="Y"/>
    <n v="2"/>
    <n v="-2"/>
    <n v="0"/>
    <n v="36"/>
    <n v="0"/>
    <m/>
    <n v="0"/>
    <n v="1"/>
    <n v="172"/>
    <n v="4"/>
    <x v="2"/>
    <n v="1"/>
    <n v="1"/>
    <n v="37"/>
    <n v="2"/>
    <n v="2"/>
    <n v="4"/>
    <n v="5810"/>
    <n v="22604"/>
    <n v="1"/>
    <n v="16"/>
    <n v="3"/>
    <n v="3"/>
    <n v="80"/>
    <n v="0"/>
    <n v="10"/>
    <n v="2"/>
    <n v="10"/>
    <n v="4"/>
    <n v="1"/>
    <n v="8"/>
  </r>
  <r>
    <s v="No"/>
    <s v="Travel_Rarely"/>
    <x v="0"/>
    <s v="Current Employees"/>
    <x v="1"/>
    <x v="0"/>
    <x v="1208"/>
    <x v="1208"/>
    <x v="1"/>
    <x v="2"/>
    <x v="0"/>
    <s v="No"/>
    <s v="Y"/>
    <n v="4"/>
    <n v="-2"/>
    <n v="0"/>
    <n v="36"/>
    <n v="0"/>
    <m/>
    <n v="0"/>
    <n v="1"/>
    <n v="311"/>
    <n v="7"/>
    <x v="3"/>
    <n v="1"/>
    <n v="1"/>
    <n v="77"/>
    <n v="3"/>
    <n v="1"/>
    <n v="2"/>
    <n v="2013"/>
    <n v="10950"/>
    <n v="2"/>
    <n v="11"/>
    <n v="3"/>
    <n v="3"/>
    <n v="80"/>
    <n v="0"/>
    <n v="15"/>
    <n v="3"/>
    <n v="4"/>
    <n v="3"/>
    <n v="1"/>
    <n v="3"/>
  </r>
  <r>
    <s v="No"/>
    <s v="Travel_Rarely"/>
    <x v="4"/>
    <s v="Current Employees"/>
    <x v="1"/>
    <x v="0"/>
    <x v="1209"/>
    <x v="1209"/>
    <x v="1"/>
    <x v="2"/>
    <x v="0"/>
    <s v="No"/>
    <s v="Y"/>
    <n v="2"/>
    <n v="-2"/>
    <n v="0"/>
    <n v="23"/>
    <n v="0"/>
    <m/>
    <n v="0"/>
    <n v="1"/>
    <n v="507"/>
    <n v="20"/>
    <x v="1"/>
    <n v="1"/>
    <n v="1"/>
    <n v="97"/>
    <n v="3"/>
    <n v="2"/>
    <n v="3"/>
    <n v="2272"/>
    <n v="24812"/>
    <n v="0"/>
    <n v="14"/>
    <n v="3"/>
    <n v="2"/>
    <n v="80"/>
    <n v="0"/>
    <n v="5"/>
    <n v="3"/>
    <n v="4"/>
    <n v="3"/>
    <n v="1"/>
    <n v="2"/>
  </r>
  <r>
    <s v="No"/>
    <s v="Travel_Rarely"/>
    <x v="2"/>
    <s v="Current Employees"/>
    <x v="1"/>
    <x v="2"/>
    <x v="1210"/>
    <x v="1210"/>
    <x v="1"/>
    <x v="1"/>
    <x v="0"/>
    <s v="No"/>
    <s v="Y"/>
    <n v="4"/>
    <n v="-2"/>
    <n v="0"/>
    <n v="34"/>
    <n v="0"/>
    <m/>
    <n v="0"/>
    <n v="1"/>
    <n v="479"/>
    <n v="7"/>
    <x v="2"/>
    <n v="1"/>
    <n v="1"/>
    <n v="35"/>
    <n v="3"/>
    <n v="1"/>
    <n v="4"/>
    <n v="2972"/>
    <n v="22061"/>
    <n v="1"/>
    <n v="13"/>
    <n v="3"/>
    <n v="3"/>
    <n v="80"/>
    <n v="0"/>
    <n v="1"/>
    <n v="1"/>
    <n v="1"/>
    <n v="0"/>
    <n v="0"/>
    <n v="0"/>
  </r>
  <r>
    <s v="No"/>
    <s v="Travel_Rarely"/>
    <x v="0"/>
    <s v="Current Employees"/>
    <x v="1"/>
    <x v="0"/>
    <x v="1211"/>
    <x v="1211"/>
    <x v="1"/>
    <x v="1"/>
    <x v="0"/>
    <s v="No"/>
    <s v="Y"/>
    <n v="2"/>
    <n v="-2"/>
    <n v="0"/>
    <n v="39"/>
    <n v="0"/>
    <m/>
    <n v="0"/>
    <n v="1"/>
    <n v="116"/>
    <n v="24"/>
    <x v="1"/>
    <n v="1"/>
    <n v="1"/>
    <n v="52"/>
    <n v="3"/>
    <n v="2"/>
    <n v="4"/>
    <n v="4108"/>
    <n v="5340"/>
    <n v="7"/>
    <n v="13"/>
    <n v="3"/>
    <n v="1"/>
    <n v="80"/>
    <n v="0"/>
    <n v="18"/>
    <n v="3"/>
    <n v="7"/>
    <n v="7"/>
    <n v="1"/>
    <n v="7"/>
  </r>
  <r>
    <s v="No"/>
    <s v="Travel_Rarely"/>
    <x v="4"/>
    <s v="Current Employees"/>
    <x v="1"/>
    <x v="0"/>
    <x v="1212"/>
    <x v="1212"/>
    <x v="1"/>
    <x v="4"/>
    <x v="0"/>
    <s v="No"/>
    <s v="Y"/>
    <n v="2"/>
    <n v="-2"/>
    <n v="0"/>
    <n v="24"/>
    <n v="0"/>
    <m/>
    <n v="0"/>
    <n v="1"/>
    <n v="771"/>
    <n v="1"/>
    <x v="0"/>
    <n v="1"/>
    <n v="2"/>
    <n v="45"/>
    <n v="2"/>
    <n v="2"/>
    <n v="3"/>
    <n v="4617"/>
    <n v="14120"/>
    <n v="1"/>
    <n v="12"/>
    <n v="3"/>
    <n v="2"/>
    <n v="80"/>
    <n v="0"/>
    <n v="4"/>
    <n v="2"/>
    <n v="4"/>
    <n v="3"/>
    <n v="1"/>
    <n v="2"/>
  </r>
  <r>
    <s v="No"/>
    <s v="Travel_Rarely"/>
    <x v="0"/>
    <s v="Current Employees"/>
    <x v="1"/>
    <x v="2"/>
    <x v="1213"/>
    <x v="1213"/>
    <x v="1"/>
    <x v="1"/>
    <x v="0"/>
    <s v="No"/>
    <s v="Y"/>
    <n v="5"/>
    <n v="-2"/>
    <n v="0"/>
    <n v="35"/>
    <n v="0"/>
    <m/>
    <n v="0"/>
    <n v="1"/>
    <n v="1395"/>
    <n v="9"/>
    <x v="2"/>
    <n v="1"/>
    <n v="2"/>
    <n v="48"/>
    <n v="3"/>
    <n v="2"/>
    <n v="3"/>
    <n v="5098"/>
    <n v="18698"/>
    <n v="1"/>
    <n v="19"/>
    <n v="3"/>
    <n v="2"/>
    <n v="80"/>
    <n v="0"/>
    <n v="10"/>
    <n v="3"/>
    <n v="10"/>
    <n v="7"/>
    <n v="0"/>
    <n v="8"/>
  </r>
  <r>
    <s v="No"/>
    <s v="Travel_Rarely"/>
    <x v="0"/>
    <s v="Current Employees"/>
    <x v="1"/>
    <x v="0"/>
    <x v="1214"/>
    <x v="1214"/>
    <x v="1"/>
    <x v="4"/>
    <x v="0"/>
    <s v="No"/>
    <s v="Y"/>
    <n v="3"/>
    <n v="-2"/>
    <n v="0"/>
    <n v="41"/>
    <n v="0"/>
    <m/>
    <n v="0"/>
    <n v="1"/>
    <n v="447"/>
    <n v="5"/>
    <x v="3"/>
    <n v="1"/>
    <n v="2"/>
    <n v="85"/>
    <n v="4"/>
    <n v="2"/>
    <n v="2"/>
    <n v="6870"/>
    <n v="15530"/>
    <n v="3"/>
    <n v="12"/>
    <n v="3"/>
    <n v="1"/>
    <n v="80"/>
    <n v="0"/>
    <n v="11"/>
    <n v="1"/>
    <n v="3"/>
    <n v="2"/>
    <n v="1"/>
    <n v="2"/>
  </r>
  <r>
    <s v="No"/>
    <s v="Travel_Rarely"/>
    <x v="0"/>
    <s v="Current Employees"/>
    <x v="1"/>
    <x v="0"/>
    <x v="1215"/>
    <x v="1215"/>
    <x v="1"/>
    <x v="1"/>
    <x v="0"/>
    <s v="No"/>
    <s v="Y"/>
    <n v="2"/>
    <n v="-2"/>
    <n v="0"/>
    <n v="40"/>
    <n v="0"/>
    <m/>
    <n v="0"/>
    <n v="1"/>
    <n v="1322"/>
    <n v="2"/>
    <x v="2"/>
    <n v="1"/>
    <n v="3"/>
    <n v="52"/>
    <n v="2"/>
    <n v="1"/>
    <n v="3"/>
    <n v="2809"/>
    <n v="2725"/>
    <n v="2"/>
    <n v="14"/>
    <n v="3"/>
    <n v="4"/>
    <n v="80"/>
    <n v="0"/>
    <n v="8"/>
    <n v="3"/>
    <n v="2"/>
    <n v="2"/>
    <n v="2"/>
    <n v="2"/>
  </r>
  <r>
    <s v="No"/>
    <s v="Travel_Rarely"/>
    <x v="2"/>
    <s v="Current Employees"/>
    <x v="1"/>
    <x v="2"/>
    <x v="1216"/>
    <x v="1216"/>
    <x v="1"/>
    <x v="2"/>
    <x v="0"/>
    <s v="No"/>
    <s v="Y"/>
    <n v="6"/>
    <n v="-2"/>
    <n v="0"/>
    <n v="26"/>
    <n v="0"/>
    <m/>
    <n v="0"/>
    <n v="1"/>
    <n v="157"/>
    <n v="1"/>
    <x v="3"/>
    <n v="1"/>
    <n v="3"/>
    <n v="95"/>
    <n v="3"/>
    <n v="1"/>
    <n v="1"/>
    <n v="2867"/>
    <n v="20006"/>
    <n v="0"/>
    <n v="13"/>
    <n v="3"/>
    <n v="4"/>
    <n v="80"/>
    <n v="0"/>
    <n v="8"/>
    <n v="2"/>
    <n v="7"/>
    <n v="7"/>
    <n v="7"/>
    <n v="6"/>
  </r>
  <r>
    <s v="No"/>
    <s v="Travel_Rarely"/>
    <x v="1"/>
    <s v="Current Employees"/>
    <x v="1"/>
    <x v="0"/>
    <x v="1217"/>
    <x v="1217"/>
    <x v="1"/>
    <x v="4"/>
    <x v="0"/>
    <s v="No"/>
    <s v="Y"/>
    <n v="3"/>
    <n v="-2"/>
    <n v="0"/>
    <n v="46"/>
    <n v="0"/>
    <m/>
    <n v="0"/>
    <n v="1"/>
    <n v="717"/>
    <n v="13"/>
    <x v="2"/>
    <n v="1"/>
    <n v="3"/>
    <n v="34"/>
    <n v="3"/>
    <n v="2"/>
    <n v="2"/>
    <n v="5562"/>
    <n v="9697"/>
    <n v="6"/>
    <n v="14"/>
    <n v="3"/>
    <n v="4"/>
    <n v="80"/>
    <n v="0"/>
    <n v="19"/>
    <n v="3"/>
    <n v="10"/>
    <n v="7"/>
    <n v="0"/>
    <n v="9"/>
  </r>
  <r>
    <s v="No"/>
    <s v="Travel_Rarely"/>
    <x v="1"/>
    <s v="Current Employees"/>
    <x v="1"/>
    <x v="0"/>
    <x v="1218"/>
    <x v="1218"/>
    <x v="1"/>
    <x v="5"/>
    <x v="0"/>
    <s v="No"/>
    <s v="Y"/>
    <n v="2"/>
    <n v="-2"/>
    <n v="0"/>
    <n v="49"/>
    <n v="0"/>
    <m/>
    <n v="0"/>
    <n v="1"/>
    <n v="809"/>
    <n v="1"/>
    <x v="3"/>
    <n v="1"/>
    <n v="3"/>
    <n v="36"/>
    <n v="3"/>
    <n v="4"/>
    <n v="3"/>
    <n v="15379"/>
    <n v="22384"/>
    <n v="4"/>
    <n v="14"/>
    <n v="3"/>
    <n v="1"/>
    <n v="80"/>
    <n v="0"/>
    <n v="23"/>
    <n v="3"/>
    <n v="8"/>
    <n v="7"/>
    <n v="0"/>
    <n v="0"/>
  </r>
  <r>
    <s v="No"/>
    <s v="Travel_Rarely"/>
    <x v="4"/>
    <s v="Current Employees"/>
    <x v="1"/>
    <x v="2"/>
    <x v="1219"/>
    <x v="1219"/>
    <x v="1"/>
    <x v="1"/>
    <x v="0"/>
    <s v="No"/>
    <s v="Y"/>
    <n v="2"/>
    <n v="-2"/>
    <n v="0"/>
    <n v="21"/>
    <n v="0"/>
    <m/>
    <n v="0"/>
    <n v="1"/>
    <n v="546"/>
    <n v="5"/>
    <x v="1"/>
    <n v="1"/>
    <n v="3"/>
    <n v="97"/>
    <n v="3"/>
    <n v="1"/>
    <n v="4"/>
    <n v="3117"/>
    <n v="26009"/>
    <n v="1"/>
    <n v="18"/>
    <n v="3"/>
    <n v="3"/>
    <n v="80"/>
    <n v="0"/>
    <n v="3"/>
    <n v="3"/>
    <n v="2"/>
    <n v="2"/>
    <n v="2"/>
    <n v="2"/>
  </r>
  <r>
    <s v="No"/>
    <s v="Travel_Rarely"/>
    <x v="2"/>
    <s v="Current Employees"/>
    <x v="1"/>
    <x v="1"/>
    <x v="1220"/>
    <x v="1220"/>
    <x v="1"/>
    <x v="2"/>
    <x v="0"/>
    <s v="No"/>
    <s v="Y"/>
    <n v="2"/>
    <n v="-2"/>
    <n v="0"/>
    <n v="26"/>
    <n v="0"/>
    <m/>
    <n v="0"/>
    <n v="1"/>
    <n v="652"/>
    <n v="7"/>
    <x v="3"/>
    <n v="1"/>
    <n v="3"/>
    <n v="100"/>
    <n v="4"/>
    <n v="1"/>
    <n v="1"/>
    <n v="3578"/>
    <n v="23577"/>
    <n v="0"/>
    <n v="12"/>
    <n v="3"/>
    <n v="4"/>
    <n v="80"/>
    <n v="0"/>
    <n v="8"/>
    <n v="3"/>
    <n v="7"/>
    <n v="7"/>
    <n v="0"/>
    <n v="7"/>
  </r>
  <r>
    <s v="No"/>
    <s v="Travel_Rarely"/>
    <x v="0"/>
    <s v="Current Employees"/>
    <x v="1"/>
    <x v="2"/>
    <x v="1221"/>
    <x v="1221"/>
    <x v="1"/>
    <x v="2"/>
    <x v="0"/>
    <s v="No"/>
    <s v="Y"/>
    <n v="3"/>
    <n v="-2"/>
    <n v="0"/>
    <n v="35"/>
    <n v="0"/>
    <m/>
    <n v="0"/>
    <n v="1"/>
    <n v="992"/>
    <n v="1"/>
    <x v="3"/>
    <n v="1"/>
    <n v="4"/>
    <n v="68"/>
    <n v="2"/>
    <n v="1"/>
    <n v="1"/>
    <n v="2450"/>
    <n v="21731"/>
    <n v="1"/>
    <n v="19"/>
    <n v="3"/>
    <n v="2"/>
    <n v="80"/>
    <n v="0"/>
    <n v="3"/>
    <n v="3"/>
    <n v="3"/>
    <n v="0"/>
    <n v="1"/>
    <n v="2"/>
  </r>
  <r>
    <s v="No"/>
    <s v="Travel_Rarely"/>
    <x v="2"/>
    <s v="Current Employees"/>
    <x v="1"/>
    <x v="0"/>
    <x v="1222"/>
    <x v="1222"/>
    <x v="1"/>
    <x v="3"/>
    <x v="0"/>
    <s v="No"/>
    <s v="Y"/>
    <n v="2"/>
    <n v="-2"/>
    <n v="0"/>
    <n v="33"/>
    <n v="0"/>
    <m/>
    <n v="0"/>
    <n v="1"/>
    <n v="575"/>
    <n v="25"/>
    <x v="3"/>
    <n v="1"/>
    <n v="4"/>
    <n v="44"/>
    <n v="2"/>
    <n v="2"/>
    <n v="2"/>
    <n v="4320"/>
    <n v="24152"/>
    <n v="1"/>
    <n v="13"/>
    <n v="3"/>
    <n v="4"/>
    <n v="80"/>
    <n v="0"/>
    <n v="5"/>
    <n v="3"/>
    <n v="5"/>
    <n v="3"/>
    <n v="0"/>
    <n v="2"/>
  </r>
  <r>
    <s v="No"/>
    <s v="Travel_Rarely"/>
    <x v="2"/>
    <s v="Current Employees"/>
    <x v="1"/>
    <x v="0"/>
    <x v="1223"/>
    <x v="1223"/>
    <x v="1"/>
    <x v="2"/>
    <x v="0"/>
    <s v="No"/>
    <s v="Y"/>
    <n v="2"/>
    <n v="-2"/>
    <n v="0"/>
    <n v="29"/>
    <n v="0"/>
    <m/>
    <n v="0"/>
    <n v="1"/>
    <n v="592"/>
    <n v="7"/>
    <x v="3"/>
    <n v="1"/>
    <n v="4"/>
    <n v="59"/>
    <n v="3"/>
    <n v="1"/>
    <n v="1"/>
    <n v="2062"/>
    <n v="19384"/>
    <n v="3"/>
    <n v="14"/>
    <n v="3"/>
    <n v="2"/>
    <n v="80"/>
    <n v="0"/>
    <n v="11"/>
    <n v="3"/>
    <n v="3"/>
    <n v="2"/>
    <n v="1"/>
    <n v="2"/>
  </r>
  <r>
    <s v="No"/>
    <s v="Travel_Rarely"/>
    <x v="2"/>
    <s v="Current Employees"/>
    <x v="1"/>
    <x v="4"/>
    <x v="1224"/>
    <x v="1224"/>
    <x v="1"/>
    <x v="1"/>
    <x v="0"/>
    <s v="No"/>
    <s v="Y"/>
    <n v="4"/>
    <n v="-2"/>
    <n v="0"/>
    <n v="32"/>
    <n v="0"/>
    <m/>
    <n v="0"/>
    <n v="1"/>
    <n v="529"/>
    <n v="2"/>
    <x v="3"/>
    <n v="1"/>
    <n v="4"/>
    <n v="78"/>
    <n v="3"/>
    <n v="1"/>
    <n v="4"/>
    <n v="2439"/>
    <n v="11288"/>
    <n v="1"/>
    <n v="14"/>
    <n v="3"/>
    <n v="4"/>
    <n v="80"/>
    <n v="0"/>
    <n v="4"/>
    <n v="3"/>
    <n v="4"/>
    <n v="2"/>
    <n v="1"/>
    <n v="2"/>
  </r>
  <r>
    <s v="No"/>
    <s v="Travel_Rarely"/>
    <x v="0"/>
    <s v="Current Employees"/>
    <x v="1"/>
    <x v="0"/>
    <x v="1225"/>
    <x v="1225"/>
    <x v="1"/>
    <x v="1"/>
    <x v="0"/>
    <s v="No"/>
    <s v="Y"/>
    <n v="3"/>
    <n v="-2"/>
    <n v="0"/>
    <n v="44"/>
    <n v="0"/>
    <m/>
    <n v="0"/>
    <n v="1"/>
    <n v="1467"/>
    <n v="20"/>
    <x v="3"/>
    <n v="1"/>
    <n v="4"/>
    <n v="49"/>
    <n v="3"/>
    <n v="1"/>
    <n v="2"/>
    <n v="3420"/>
    <n v="21158"/>
    <n v="1"/>
    <n v="13"/>
    <n v="3"/>
    <n v="3"/>
    <n v="80"/>
    <n v="0"/>
    <n v="6"/>
    <n v="2"/>
    <n v="5"/>
    <n v="2"/>
    <n v="1"/>
    <n v="3"/>
  </r>
  <r>
    <s v="No"/>
    <s v="Travel_Rarely"/>
    <x v="0"/>
    <s v="Current Employees"/>
    <x v="1"/>
    <x v="0"/>
    <x v="1226"/>
    <x v="1226"/>
    <x v="1"/>
    <x v="2"/>
    <x v="0"/>
    <s v="No"/>
    <s v="Y"/>
    <n v="3"/>
    <n v="-2"/>
    <n v="0"/>
    <n v="42"/>
    <n v="0"/>
    <m/>
    <n v="0"/>
    <n v="1"/>
    <n v="1142"/>
    <n v="8"/>
    <x v="3"/>
    <n v="1"/>
    <n v="4"/>
    <n v="81"/>
    <n v="3"/>
    <n v="1"/>
    <n v="3"/>
    <n v="3968"/>
    <n v="13624"/>
    <n v="4"/>
    <n v="13"/>
    <n v="3"/>
    <n v="4"/>
    <n v="80"/>
    <n v="0"/>
    <n v="8"/>
    <n v="3"/>
    <n v="0"/>
    <n v="0"/>
    <n v="0"/>
    <n v="0"/>
  </r>
  <r>
    <s v="No"/>
    <s v="Travel_Rarely"/>
    <x v="4"/>
    <s v="Current Employees"/>
    <x v="1"/>
    <x v="0"/>
    <x v="1227"/>
    <x v="1227"/>
    <x v="1"/>
    <x v="1"/>
    <x v="0"/>
    <s v="No"/>
    <s v="Y"/>
    <n v="2"/>
    <n v="-2"/>
    <n v="0"/>
    <n v="22"/>
    <n v="0"/>
    <m/>
    <n v="0"/>
    <n v="1"/>
    <n v="581"/>
    <n v="1"/>
    <x v="0"/>
    <n v="1"/>
    <n v="4"/>
    <n v="63"/>
    <n v="3"/>
    <n v="1"/>
    <n v="3"/>
    <n v="3375"/>
    <n v="17624"/>
    <n v="0"/>
    <n v="12"/>
    <n v="3"/>
    <n v="4"/>
    <n v="80"/>
    <n v="0"/>
    <n v="4"/>
    <n v="4"/>
    <n v="3"/>
    <n v="2"/>
    <n v="1"/>
    <n v="2"/>
  </r>
  <r>
    <s v="No"/>
    <s v="Travel_Rarely"/>
    <x v="4"/>
    <s v="Current Employees"/>
    <x v="1"/>
    <x v="1"/>
    <x v="1228"/>
    <x v="1228"/>
    <x v="1"/>
    <x v="2"/>
    <x v="0"/>
    <s v="No"/>
    <s v="Y"/>
    <n v="6"/>
    <n v="-2"/>
    <n v="0"/>
    <n v="23"/>
    <n v="0"/>
    <m/>
    <n v="0"/>
    <n v="1"/>
    <n v="571"/>
    <n v="12"/>
    <x v="0"/>
    <n v="1"/>
    <n v="4"/>
    <n v="78"/>
    <n v="3"/>
    <n v="1"/>
    <n v="4"/>
    <n v="2647"/>
    <n v="13672"/>
    <n v="1"/>
    <n v="13"/>
    <n v="3"/>
    <n v="3"/>
    <n v="80"/>
    <n v="0"/>
    <n v="5"/>
    <n v="4"/>
    <n v="5"/>
    <n v="2"/>
    <n v="1"/>
    <n v="4"/>
  </r>
  <r>
    <s v="No"/>
    <s v="Travel_Rarely"/>
    <x v="1"/>
    <s v="Current Employees"/>
    <x v="1"/>
    <x v="2"/>
    <x v="1229"/>
    <x v="1229"/>
    <x v="1"/>
    <x v="7"/>
    <x v="0"/>
    <s v="No"/>
    <s v="Y"/>
    <n v="2"/>
    <n v="-2"/>
    <n v="0"/>
    <n v="53"/>
    <n v="0"/>
    <m/>
    <n v="0"/>
    <n v="1"/>
    <n v="447"/>
    <n v="2"/>
    <x v="3"/>
    <n v="1"/>
    <n v="4"/>
    <n v="39"/>
    <n v="4"/>
    <n v="4"/>
    <n v="2"/>
    <n v="16598"/>
    <n v="19764"/>
    <n v="4"/>
    <n v="12"/>
    <n v="3"/>
    <n v="2"/>
    <n v="80"/>
    <n v="0"/>
    <n v="35"/>
    <n v="2"/>
    <n v="9"/>
    <n v="8"/>
    <n v="8"/>
    <n v="8"/>
  </r>
  <r>
    <s v="No"/>
    <s v="Travel_Rarely"/>
    <x v="2"/>
    <s v="Current Employees"/>
    <x v="0"/>
    <x v="0"/>
    <x v="1230"/>
    <x v="1230"/>
    <x v="1"/>
    <x v="0"/>
    <x v="2"/>
    <s v="No"/>
    <s v="Y"/>
    <n v="5"/>
    <n v="-2"/>
    <n v="0"/>
    <n v="31"/>
    <n v="0"/>
    <m/>
    <n v="0"/>
    <n v="1"/>
    <n v="326"/>
    <n v="8"/>
    <x v="0"/>
    <n v="1"/>
    <n v="1"/>
    <n v="31"/>
    <n v="3"/>
    <n v="3"/>
    <n v="4"/>
    <n v="10793"/>
    <n v="8386"/>
    <n v="1"/>
    <n v="18"/>
    <n v="3"/>
    <n v="1"/>
    <n v="80"/>
    <n v="1"/>
    <n v="13"/>
    <n v="3"/>
    <n v="13"/>
    <n v="7"/>
    <n v="9"/>
    <n v="9"/>
  </r>
  <r>
    <s v="No"/>
    <s v="Travel_Rarely"/>
    <x v="2"/>
    <s v="Current Employees"/>
    <x v="0"/>
    <x v="3"/>
    <x v="1231"/>
    <x v="1231"/>
    <x v="1"/>
    <x v="0"/>
    <x v="2"/>
    <s v="No"/>
    <s v="Y"/>
    <n v="2"/>
    <n v="-2"/>
    <n v="0"/>
    <n v="30"/>
    <n v="0"/>
    <m/>
    <n v="0"/>
    <n v="1"/>
    <n v="979"/>
    <n v="15"/>
    <x v="0"/>
    <n v="1"/>
    <n v="3"/>
    <n v="94"/>
    <n v="2"/>
    <n v="3"/>
    <n v="2"/>
    <n v="7140"/>
    <n v="3088"/>
    <n v="2"/>
    <n v="11"/>
    <n v="3"/>
    <n v="1"/>
    <n v="80"/>
    <n v="1"/>
    <n v="12"/>
    <n v="3"/>
    <n v="7"/>
    <n v="7"/>
    <n v="1"/>
    <n v="7"/>
  </r>
  <r>
    <s v="No"/>
    <s v="Travel_Rarely"/>
    <x v="0"/>
    <s v="Current Employees"/>
    <x v="0"/>
    <x v="0"/>
    <x v="1232"/>
    <x v="1232"/>
    <x v="1"/>
    <x v="0"/>
    <x v="2"/>
    <s v="No"/>
    <s v="Y"/>
    <n v="5"/>
    <n v="-2"/>
    <n v="0"/>
    <n v="41"/>
    <n v="0"/>
    <m/>
    <n v="0"/>
    <n v="1"/>
    <n v="930"/>
    <n v="3"/>
    <x v="3"/>
    <n v="1"/>
    <n v="3"/>
    <n v="57"/>
    <n v="2"/>
    <n v="2"/>
    <n v="2"/>
    <n v="8938"/>
    <n v="12227"/>
    <n v="2"/>
    <n v="11"/>
    <n v="3"/>
    <n v="3"/>
    <n v="80"/>
    <n v="1"/>
    <n v="14"/>
    <n v="3"/>
    <n v="5"/>
    <n v="4"/>
    <n v="0"/>
    <n v="4"/>
  </r>
  <r>
    <s v="No"/>
    <s v="Travel_Rarely"/>
    <x v="2"/>
    <s v="Current Employees"/>
    <x v="0"/>
    <x v="2"/>
    <x v="1233"/>
    <x v="1233"/>
    <x v="1"/>
    <x v="0"/>
    <x v="2"/>
    <s v="No"/>
    <s v="Y"/>
    <n v="2"/>
    <n v="-2"/>
    <n v="0"/>
    <n v="34"/>
    <n v="0"/>
    <m/>
    <n v="0"/>
    <n v="1"/>
    <n v="1239"/>
    <n v="13"/>
    <x v="2"/>
    <n v="1"/>
    <n v="4"/>
    <n v="39"/>
    <n v="3"/>
    <n v="3"/>
    <n v="3"/>
    <n v="8628"/>
    <n v="22914"/>
    <n v="1"/>
    <n v="18"/>
    <n v="3"/>
    <n v="3"/>
    <n v="80"/>
    <n v="1"/>
    <n v="9"/>
    <n v="2"/>
    <n v="8"/>
    <n v="7"/>
    <n v="1"/>
    <n v="1"/>
  </r>
  <r>
    <s v="No"/>
    <s v="Travel_Rarely"/>
    <x v="2"/>
    <s v="Current Employees"/>
    <x v="0"/>
    <x v="0"/>
    <x v="1234"/>
    <x v="1234"/>
    <x v="1"/>
    <x v="0"/>
    <x v="2"/>
    <s v="No"/>
    <s v="Y"/>
    <n v="3"/>
    <n v="-2"/>
    <n v="0"/>
    <n v="29"/>
    <n v="0"/>
    <m/>
    <n v="0"/>
    <n v="1"/>
    <n v="1246"/>
    <n v="19"/>
    <x v="3"/>
    <n v="1"/>
    <n v="3"/>
    <n v="77"/>
    <n v="2"/>
    <n v="2"/>
    <n v="3"/>
    <n v="8620"/>
    <n v="23757"/>
    <n v="1"/>
    <n v="14"/>
    <n v="3"/>
    <n v="3"/>
    <n v="80"/>
    <n v="2"/>
    <n v="10"/>
    <n v="3"/>
    <n v="10"/>
    <n v="7"/>
    <n v="0"/>
    <n v="4"/>
  </r>
  <r>
    <s v="No"/>
    <s v="Travel_Rarely"/>
    <x v="2"/>
    <s v="Current Employees"/>
    <x v="0"/>
    <x v="2"/>
    <x v="1235"/>
    <x v="1235"/>
    <x v="1"/>
    <x v="0"/>
    <x v="2"/>
    <s v="No"/>
    <s v="Y"/>
    <n v="5"/>
    <n v="-2"/>
    <n v="0"/>
    <n v="33"/>
    <n v="0"/>
    <m/>
    <n v="0"/>
    <n v="1"/>
    <n v="392"/>
    <n v="2"/>
    <x v="2"/>
    <n v="1"/>
    <n v="4"/>
    <n v="93"/>
    <n v="3"/>
    <n v="2"/>
    <n v="4"/>
    <n v="5505"/>
    <n v="3921"/>
    <n v="1"/>
    <n v="14"/>
    <n v="3"/>
    <n v="3"/>
    <n v="80"/>
    <n v="2"/>
    <n v="6"/>
    <n v="3"/>
    <n v="6"/>
    <n v="2"/>
    <n v="0"/>
    <n v="4"/>
  </r>
  <r>
    <s v="No"/>
    <s v="Travel_Rarely"/>
    <x v="1"/>
    <s v="Current Employees"/>
    <x v="0"/>
    <x v="3"/>
    <x v="1236"/>
    <x v="1236"/>
    <x v="1"/>
    <x v="0"/>
    <x v="2"/>
    <s v="No"/>
    <s v="Y"/>
    <n v="3"/>
    <n v="-2"/>
    <n v="0"/>
    <n v="48"/>
    <n v="0"/>
    <m/>
    <n v="0"/>
    <n v="1"/>
    <n v="1221"/>
    <n v="7"/>
    <x v="3"/>
    <n v="1"/>
    <n v="3"/>
    <n v="96"/>
    <n v="3"/>
    <n v="2"/>
    <n v="2"/>
    <n v="5486"/>
    <n v="24795"/>
    <n v="4"/>
    <n v="11"/>
    <n v="3"/>
    <n v="1"/>
    <n v="80"/>
    <n v="3"/>
    <n v="15"/>
    <n v="3"/>
    <n v="2"/>
    <n v="2"/>
    <n v="2"/>
    <n v="2"/>
  </r>
  <r>
    <s v="No"/>
    <s v="Travel_Rarely"/>
    <x v="0"/>
    <s v="Current Employees"/>
    <x v="0"/>
    <x v="2"/>
    <x v="1237"/>
    <x v="1237"/>
    <x v="1"/>
    <x v="0"/>
    <x v="1"/>
    <s v="No"/>
    <s v="Y"/>
    <n v="5"/>
    <n v="-2"/>
    <n v="0"/>
    <n v="40"/>
    <n v="0"/>
    <m/>
    <n v="0"/>
    <n v="1"/>
    <n v="1342"/>
    <n v="9"/>
    <x v="0"/>
    <n v="1"/>
    <n v="1"/>
    <n v="47"/>
    <n v="3"/>
    <n v="2"/>
    <n v="1"/>
    <n v="5473"/>
    <n v="19345"/>
    <n v="0"/>
    <n v="12"/>
    <n v="3"/>
    <n v="4"/>
    <n v="80"/>
    <n v="0"/>
    <n v="9"/>
    <n v="4"/>
    <n v="8"/>
    <n v="4"/>
    <n v="7"/>
    <n v="1"/>
  </r>
  <r>
    <s v="No"/>
    <s v="Travel_Rarely"/>
    <x v="2"/>
    <s v="Current Employees"/>
    <x v="0"/>
    <x v="0"/>
    <x v="1238"/>
    <x v="1238"/>
    <x v="1"/>
    <x v="0"/>
    <x v="1"/>
    <s v="No"/>
    <s v="Y"/>
    <n v="6"/>
    <n v="-2"/>
    <n v="0"/>
    <n v="33"/>
    <n v="0"/>
    <m/>
    <n v="0"/>
    <n v="1"/>
    <n v="1242"/>
    <n v="8"/>
    <x v="2"/>
    <n v="1"/>
    <n v="1"/>
    <n v="46"/>
    <n v="3"/>
    <n v="2"/>
    <n v="1"/>
    <n v="6392"/>
    <n v="10589"/>
    <n v="2"/>
    <n v="13"/>
    <n v="3"/>
    <n v="4"/>
    <n v="80"/>
    <n v="1"/>
    <n v="8"/>
    <n v="1"/>
    <n v="2"/>
    <n v="2"/>
    <n v="2"/>
    <n v="2"/>
  </r>
  <r>
    <s v="No"/>
    <s v="Travel_Rarely"/>
    <x v="2"/>
    <s v="Current Employees"/>
    <x v="0"/>
    <x v="0"/>
    <x v="1239"/>
    <x v="1239"/>
    <x v="1"/>
    <x v="6"/>
    <x v="1"/>
    <s v="No"/>
    <s v="Y"/>
    <n v="1"/>
    <n v="-2"/>
    <n v="0"/>
    <n v="31"/>
    <n v="0"/>
    <m/>
    <n v="0"/>
    <n v="1"/>
    <n v="1154"/>
    <n v="2"/>
    <x v="0"/>
    <n v="1"/>
    <n v="1"/>
    <n v="54"/>
    <n v="3"/>
    <n v="1"/>
    <n v="3"/>
    <n v="3067"/>
    <n v="6393"/>
    <n v="0"/>
    <n v="19"/>
    <n v="3"/>
    <n v="3"/>
    <n v="80"/>
    <n v="1"/>
    <n v="3"/>
    <n v="3"/>
    <n v="2"/>
    <n v="2"/>
    <n v="1"/>
    <n v="2"/>
  </r>
  <r>
    <s v="No"/>
    <s v="Travel_Rarely"/>
    <x v="2"/>
    <s v="Current Employees"/>
    <x v="0"/>
    <x v="4"/>
    <x v="1240"/>
    <x v="1240"/>
    <x v="1"/>
    <x v="0"/>
    <x v="1"/>
    <s v="No"/>
    <s v="Y"/>
    <n v="3"/>
    <n v="-2"/>
    <n v="0"/>
    <n v="31"/>
    <n v="0"/>
    <m/>
    <n v="0"/>
    <n v="1"/>
    <n v="1003"/>
    <n v="5"/>
    <x v="3"/>
    <n v="1"/>
    <n v="4"/>
    <n v="51"/>
    <n v="3"/>
    <n v="2"/>
    <n v="4"/>
    <n v="8346"/>
    <n v="20943"/>
    <n v="1"/>
    <n v="19"/>
    <n v="3"/>
    <n v="3"/>
    <n v="80"/>
    <n v="1"/>
    <n v="6"/>
    <n v="3"/>
    <n v="5"/>
    <n v="2"/>
    <n v="0"/>
    <n v="2"/>
  </r>
  <r>
    <s v="No"/>
    <s v="Travel_Rarely"/>
    <x v="2"/>
    <s v="Current Employees"/>
    <x v="0"/>
    <x v="2"/>
    <x v="1241"/>
    <x v="1241"/>
    <x v="1"/>
    <x v="6"/>
    <x v="1"/>
    <s v="No"/>
    <s v="Y"/>
    <n v="2"/>
    <n v="-2"/>
    <n v="0"/>
    <n v="32"/>
    <n v="0"/>
    <m/>
    <n v="0"/>
    <n v="1"/>
    <n v="234"/>
    <n v="1"/>
    <x v="2"/>
    <n v="1"/>
    <n v="2"/>
    <n v="68"/>
    <n v="2"/>
    <n v="1"/>
    <n v="2"/>
    <n v="2269"/>
    <n v="18024"/>
    <n v="0"/>
    <n v="14"/>
    <n v="3"/>
    <n v="2"/>
    <n v="80"/>
    <n v="1"/>
    <n v="3"/>
    <n v="3"/>
    <n v="2"/>
    <n v="2"/>
    <n v="2"/>
    <n v="2"/>
  </r>
  <r>
    <s v="No"/>
    <s v="Travel_Rarely"/>
    <x v="0"/>
    <s v="Current Employees"/>
    <x v="0"/>
    <x v="2"/>
    <x v="1242"/>
    <x v="1242"/>
    <x v="1"/>
    <x v="0"/>
    <x v="1"/>
    <s v="No"/>
    <s v="Y"/>
    <n v="2"/>
    <n v="-2"/>
    <n v="0"/>
    <n v="35"/>
    <n v="0"/>
    <m/>
    <n v="0"/>
    <n v="1"/>
    <n v="682"/>
    <n v="18"/>
    <x v="2"/>
    <n v="1"/>
    <n v="2"/>
    <n v="71"/>
    <n v="3"/>
    <n v="2"/>
    <n v="1"/>
    <n v="5561"/>
    <n v="15975"/>
    <n v="0"/>
    <n v="16"/>
    <n v="3"/>
    <n v="4"/>
    <n v="80"/>
    <n v="1"/>
    <n v="6"/>
    <n v="1"/>
    <n v="5"/>
    <n v="3"/>
    <n v="0"/>
    <n v="4"/>
  </r>
  <r>
    <s v="No"/>
    <s v="Travel_Rarely"/>
    <x v="2"/>
    <s v="Current Employees"/>
    <x v="0"/>
    <x v="4"/>
    <x v="1243"/>
    <x v="1243"/>
    <x v="1"/>
    <x v="0"/>
    <x v="1"/>
    <s v="No"/>
    <s v="Y"/>
    <n v="3"/>
    <n v="-2"/>
    <n v="0"/>
    <n v="30"/>
    <n v="0"/>
    <m/>
    <n v="0"/>
    <n v="1"/>
    <n v="1288"/>
    <n v="29"/>
    <x v="2"/>
    <n v="1"/>
    <n v="4"/>
    <n v="33"/>
    <n v="3"/>
    <n v="3"/>
    <n v="4"/>
    <n v="9250"/>
    <n v="17799"/>
    <n v="3"/>
    <n v="12"/>
    <n v="3"/>
    <n v="2"/>
    <n v="80"/>
    <n v="1"/>
    <n v="9"/>
    <n v="3"/>
    <n v="4"/>
    <n v="2"/>
    <n v="1"/>
    <n v="3"/>
  </r>
  <r>
    <s v="No"/>
    <s v="Travel_Rarely"/>
    <x v="0"/>
    <s v="Current Employees"/>
    <x v="0"/>
    <x v="0"/>
    <x v="1244"/>
    <x v="1244"/>
    <x v="1"/>
    <x v="0"/>
    <x v="1"/>
    <s v="No"/>
    <s v="Y"/>
    <n v="3"/>
    <n v="-2"/>
    <n v="0"/>
    <n v="38"/>
    <n v="0"/>
    <m/>
    <n v="0"/>
    <n v="1"/>
    <n v="1245"/>
    <n v="14"/>
    <x v="3"/>
    <n v="1"/>
    <n v="3"/>
    <n v="80"/>
    <n v="3"/>
    <n v="2"/>
    <n v="2"/>
    <n v="9924"/>
    <n v="12355"/>
    <n v="0"/>
    <n v="11"/>
    <n v="3"/>
    <n v="4"/>
    <n v="80"/>
    <n v="1"/>
    <n v="10"/>
    <n v="3"/>
    <n v="9"/>
    <n v="8"/>
    <n v="7"/>
    <n v="7"/>
  </r>
  <r>
    <s v="No"/>
    <s v="Travel_Rarely"/>
    <x v="2"/>
    <s v="Current Employees"/>
    <x v="0"/>
    <x v="0"/>
    <x v="1245"/>
    <x v="1245"/>
    <x v="1"/>
    <x v="0"/>
    <x v="1"/>
    <s v="No"/>
    <s v="Y"/>
    <n v="2"/>
    <n v="-2"/>
    <n v="0"/>
    <n v="32"/>
    <n v="0"/>
    <m/>
    <n v="0"/>
    <n v="1"/>
    <n v="371"/>
    <n v="19"/>
    <x v="3"/>
    <n v="1"/>
    <n v="4"/>
    <n v="80"/>
    <n v="1"/>
    <n v="3"/>
    <n v="3"/>
    <n v="9610"/>
    <n v="3840"/>
    <n v="3"/>
    <n v="13"/>
    <n v="3"/>
    <n v="3"/>
    <n v="80"/>
    <n v="1"/>
    <n v="10"/>
    <n v="1"/>
    <n v="4"/>
    <n v="3"/>
    <n v="0"/>
    <n v="2"/>
  </r>
  <r>
    <s v="No"/>
    <s v="Travel_Rarely"/>
    <x v="0"/>
    <s v="Current Employees"/>
    <x v="0"/>
    <x v="0"/>
    <x v="1246"/>
    <x v="1246"/>
    <x v="1"/>
    <x v="6"/>
    <x v="1"/>
    <s v="No"/>
    <s v="Y"/>
    <n v="3"/>
    <n v="-2"/>
    <n v="0"/>
    <n v="35"/>
    <n v="0"/>
    <m/>
    <n v="0"/>
    <n v="1"/>
    <n v="660"/>
    <n v="7"/>
    <x v="1"/>
    <n v="1"/>
    <n v="4"/>
    <n v="76"/>
    <n v="3"/>
    <n v="1"/>
    <n v="3"/>
    <n v="2404"/>
    <n v="16192"/>
    <n v="1"/>
    <n v="13"/>
    <n v="3"/>
    <n v="1"/>
    <n v="80"/>
    <n v="1"/>
    <n v="1"/>
    <n v="3"/>
    <n v="1"/>
    <n v="0"/>
    <n v="0"/>
    <n v="0"/>
  </r>
  <r>
    <s v="No"/>
    <s v="Travel_Rarely"/>
    <x v="2"/>
    <s v="Current Employees"/>
    <x v="0"/>
    <x v="3"/>
    <x v="1247"/>
    <x v="1247"/>
    <x v="1"/>
    <x v="0"/>
    <x v="1"/>
    <s v="No"/>
    <s v="Y"/>
    <n v="3"/>
    <n v="-2"/>
    <n v="0"/>
    <n v="32"/>
    <n v="0"/>
    <m/>
    <n v="0"/>
    <n v="1"/>
    <n v="601"/>
    <n v="7"/>
    <x v="4"/>
    <n v="1"/>
    <n v="4"/>
    <n v="97"/>
    <n v="3"/>
    <n v="2"/>
    <n v="2"/>
    <n v="9204"/>
    <n v="23343"/>
    <n v="4"/>
    <n v="12"/>
    <n v="3"/>
    <n v="3"/>
    <n v="80"/>
    <n v="1"/>
    <n v="7"/>
    <n v="2"/>
    <n v="4"/>
    <n v="3"/>
    <n v="0"/>
    <n v="3"/>
  </r>
  <r>
    <s v="No"/>
    <s v="Travel_Rarely"/>
    <x v="0"/>
    <s v="Current Employees"/>
    <x v="0"/>
    <x v="2"/>
    <x v="1248"/>
    <x v="1248"/>
    <x v="1"/>
    <x v="0"/>
    <x v="1"/>
    <s v="No"/>
    <s v="Y"/>
    <n v="3"/>
    <n v="-2"/>
    <n v="0"/>
    <n v="39"/>
    <n v="0"/>
    <m/>
    <n v="0"/>
    <n v="1"/>
    <n v="1462"/>
    <n v="6"/>
    <x v="3"/>
    <n v="1"/>
    <n v="4"/>
    <n v="38"/>
    <n v="4"/>
    <n v="3"/>
    <n v="3"/>
    <n v="8237"/>
    <n v="4658"/>
    <n v="2"/>
    <n v="11"/>
    <n v="3"/>
    <n v="1"/>
    <n v="80"/>
    <n v="1"/>
    <n v="11"/>
    <n v="3"/>
    <n v="7"/>
    <n v="6"/>
    <n v="7"/>
    <n v="6"/>
  </r>
  <r>
    <s v="No"/>
    <s v="Travel_Rarely"/>
    <x v="0"/>
    <s v="Current Employees"/>
    <x v="0"/>
    <x v="3"/>
    <x v="1249"/>
    <x v="1249"/>
    <x v="1"/>
    <x v="0"/>
    <x v="1"/>
    <s v="No"/>
    <s v="Y"/>
    <n v="2"/>
    <n v="-2"/>
    <n v="0"/>
    <n v="37"/>
    <n v="0"/>
    <m/>
    <n v="0"/>
    <n v="1"/>
    <n v="589"/>
    <n v="9"/>
    <x v="0"/>
    <n v="1"/>
    <n v="2"/>
    <n v="46"/>
    <n v="2"/>
    <n v="2"/>
    <n v="2"/>
    <n v="4189"/>
    <n v="8800"/>
    <n v="1"/>
    <n v="14"/>
    <n v="3"/>
    <n v="1"/>
    <n v="80"/>
    <n v="2"/>
    <n v="5"/>
    <n v="3"/>
    <n v="5"/>
    <n v="2"/>
    <n v="0"/>
    <n v="3"/>
  </r>
  <r>
    <s v="No"/>
    <s v="Travel_Rarely"/>
    <x v="0"/>
    <s v="Current Employees"/>
    <x v="0"/>
    <x v="3"/>
    <x v="1250"/>
    <x v="1250"/>
    <x v="1"/>
    <x v="0"/>
    <x v="1"/>
    <s v="No"/>
    <s v="Y"/>
    <n v="1"/>
    <n v="-2"/>
    <n v="0"/>
    <n v="36"/>
    <n v="0"/>
    <m/>
    <n v="0"/>
    <n v="1"/>
    <n v="335"/>
    <n v="17"/>
    <x v="0"/>
    <n v="1"/>
    <n v="3"/>
    <n v="33"/>
    <n v="2"/>
    <n v="2"/>
    <n v="2"/>
    <n v="5507"/>
    <n v="16822"/>
    <n v="2"/>
    <n v="16"/>
    <n v="3"/>
    <n v="3"/>
    <n v="80"/>
    <n v="2"/>
    <n v="12"/>
    <n v="1"/>
    <n v="4"/>
    <n v="2"/>
    <n v="1"/>
    <n v="3"/>
  </r>
  <r>
    <s v="No"/>
    <s v="Travel_Rarely"/>
    <x v="0"/>
    <s v="Current Employees"/>
    <x v="0"/>
    <x v="0"/>
    <x v="1251"/>
    <x v="1251"/>
    <x v="1"/>
    <x v="0"/>
    <x v="1"/>
    <s v="No"/>
    <s v="Y"/>
    <n v="3"/>
    <n v="-2"/>
    <n v="0"/>
    <n v="38"/>
    <n v="0"/>
    <m/>
    <n v="0"/>
    <n v="1"/>
    <n v="1321"/>
    <n v="1"/>
    <x v="2"/>
    <n v="1"/>
    <n v="4"/>
    <n v="86"/>
    <n v="3"/>
    <n v="2"/>
    <n v="2"/>
    <n v="4440"/>
    <n v="7636"/>
    <n v="0"/>
    <n v="15"/>
    <n v="3"/>
    <n v="1"/>
    <n v="80"/>
    <n v="2"/>
    <n v="16"/>
    <n v="3"/>
    <n v="15"/>
    <n v="13"/>
    <n v="5"/>
    <n v="8"/>
  </r>
  <r>
    <s v="No"/>
    <s v="Travel_Rarely"/>
    <x v="2"/>
    <s v="Current Employees"/>
    <x v="0"/>
    <x v="0"/>
    <x v="1252"/>
    <x v="1252"/>
    <x v="1"/>
    <x v="0"/>
    <x v="1"/>
    <s v="No"/>
    <s v="Y"/>
    <n v="2"/>
    <n v="-2"/>
    <n v="0"/>
    <n v="30"/>
    <n v="0"/>
    <m/>
    <n v="0"/>
    <n v="1"/>
    <n v="1358"/>
    <n v="16"/>
    <x v="1"/>
    <n v="1"/>
    <n v="4"/>
    <n v="96"/>
    <n v="3"/>
    <n v="2"/>
    <n v="3"/>
    <n v="5301"/>
    <n v="2939"/>
    <n v="8"/>
    <n v="15"/>
    <n v="3"/>
    <n v="3"/>
    <n v="80"/>
    <n v="2"/>
    <n v="4"/>
    <n v="2"/>
    <n v="2"/>
    <n v="1"/>
    <n v="2"/>
    <n v="2"/>
  </r>
  <r>
    <s v="No"/>
    <s v="Travel_Rarely"/>
    <x v="0"/>
    <s v="Current Employees"/>
    <x v="0"/>
    <x v="0"/>
    <x v="1253"/>
    <x v="1253"/>
    <x v="1"/>
    <x v="6"/>
    <x v="0"/>
    <s v="No"/>
    <s v="Y"/>
    <n v="3"/>
    <n v="-2"/>
    <n v="0"/>
    <n v="38"/>
    <n v="0"/>
    <m/>
    <n v="0"/>
    <n v="1"/>
    <n v="1404"/>
    <n v="1"/>
    <x v="3"/>
    <n v="1"/>
    <n v="1"/>
    <n v="59"/>
    <n v="2"/>
    <n v="1"/>
    <n v="1"/>
    <n v="2858"/>
    <n v="11473"/>
    <n v="4"/>
    <n v="14"/>
    <n v="3"/>
    <n v="1"/>
    <n v="80"/>
    <n v="0"/>
    <n v="20"/>
    <n v="2"/>
    <n v="1"/>
    <n v="0"/>
    <n v="0"/>
    <n v="0"/>
  </r>
  <r>
    <s v="No"/>
    <s v="Travel_Rarely"/>
    <x v="0"/>
    <s v="Current Employees"/>
    <x v="0"/>
    <x v="3"/>
    <x v="1254"/>
    <x v="1254"/>
    <x v="1"/>
    <x v="0"/>
    <x v="0"/>
    <s v="No"/>
    <s v="Y"/>
    <n v="3"/>
    <n v="-2"/>
    <n v="0"/>
    <n v="39"/>
    <n v="0"/>
    <m/>
    <n v="0"/>
    <n v="1"/>
    <n v="119"/>
    <n v="15"/>
    <x v="2"/>
    <n v="1"/>
    <n v="2"/>
    <n v="77"/>
    <n v="3"/>
    <n v="4"/>
    <n v="1"/>
    <n v="13341"/>
    <n v="25098"/>
    <n v="0"/>
    <n v="12"/>
    <n v="3"/>
    <n v="1"/>
    <n v="80"/>
    <n v="0"/>
    <n v="21"/>
    <n v="3"/>
    <n v="20"/>
    <n v="8"/>
    <n v="11"/>
    <n v="10"/>
  </r>
  <r>
    <s v="No"/>
    <s v="Travel_Rarely"/>
    <x v="0"/>
    <s v="Current Employees"/>
    <x v="0"/>
    <x v="2"/>
    <x v="1255"/>
    <x v="1255"/>
    <x v="1"/>
    <x v="5"/>
    <x v="0"/>
    <s v="No"/>
    <s v="Y"/>
    <n v="3"/>
    <n v="-2"/>
    <n v="0"/>
    <n v="40"/>
    <n v="0"/>
    <m/>
    <n v="0"/>
    <n v="1"/>
    <n v="611"/>
    <n v="7"/>
    <x v="2"/>
    <n v="1"/>
    <n v="2"/>
    <n v="88"/>
    <n v="3"/>
    <n v="5"/>
    <n v="2"/>
    <n v="19833"/>
    <n v="4349"/>
    <n v="1"/>
    <n v="14"/>
    <n v="3"/>
    <n v="2"/>
    <n v="80"/>
    <n v="0"/>
    <n v="21"/>
    <n v="2"/>
    <n v="21"/>
    <n v="8"/>
    <n v="12"/>
    <n v="8"/>
  </r>
  <r>
    <s v="No"/>
    <s v="Travel_Rarely"/>
    <x v="2"/>
    <s v="Current Employees"/>
    <x v="0"/>
    <x v="3"/>
    <x v="1256"/>
    <x v="1256"/>
    <x v="1"/>
    <x v="0"/>
    <x v="0"/>
    <s v="No"/>
    <s v="Y"/>
    <n v="2"/>
    <n v="-2"/>
    <n v="0"/>
    <n v="33"/>
    <n v="0"/>
    <m/>
    <n v="0"/>
    <n v="1"/>
    <n v="217"/>
    <n v="10"/>
    <x v="2"/>
    <n v="1"/>
    <n v="2"/>
    <n v="43"/>
    <n v="3"/>
    <n v="2"/>
    <n v="1"/>
    <n v="5487"/>
    <n v="10410"/>
    <n v="1"/>
    <n v="14"/>
    <n v="3"/>
    <n v="2"/>
    <n v="80"/>
    <n v="0"/>
    <n v="10"/>
    <n v="2"/>
    <n v="10"/>
    <n v="4"/>
    <n v="0"/>
    <n v="9"/>
  </r>
  <r>
    <s v="No"/>
    <s v="Travel_Rarely"/>
    <x v="2"/>
    <s v="Current Employees"/>
    <x v="0"/>
    <x v="2"/>
    <x v="1257"/>
    <x v="1257"/>
    <x v="1"/>
    <x v="0"/>
    <x v="0"/>
    <s v="No"/>
    <s v="Y"/>
    <n v="2"/>
    <n v="-2"/>
    <n v="0"/>
    <n v="29"/>
    <n v="0"/>
    <m/>
    <n v="0"/>
    <n v="1"/>
    <n v="469"/>
    <n v="10"/>
    <x v="3"/>
    <n v="1"/>
    <n v="3"/>
    <n v="42"/>
    <n v="2"/>
    <n v="2"/>
    <n v="3"/>
    <n v="5869"/>
    <n v="23413"/>
    <n v="9"/>
    <n v="11"/>
    <n v="3"/>
    <n v="3"/>
    <n v="80"/>
    <n v="0"/>
    <n v="8"/>
    <n v="3"/>
    <n v="5"/>
    <n v="2"/>
    <n v="1"/>
    <n v="4"/>
  </r>
  <r>
    <s v="No"/>
    <s v="Travel_Rarely"/>
    <x v="2"/>
    <s v="Current Employees"/>
    <x v="0"/>
    <x v="2"/>
    <x v="1258"/>
    <x v="1258"/>
    <x v="1"/>
    <x v="0"/>
    <x v="0"/>
    <s v="No"/>
    <s v="Y"/>
    <n v="4"/>
    <n v="-2"/>
    <n v="0"/>
    <n v="26"/>
    <n v="0"/>
    <m/>
    <n v="0"/>
    <n v="1"/>
    <n v="572"/>
    <n v="10"/>
    <x v="3"/>
    <n v="1"/>
    <n v="3"/>
    <n v="46"/>
    <n v="3"/>
    <n v="2"/>
    <n v="4"/>
    <n v="4684"/>
    <n v="9125"/>
    <n v="1"/>
    <n v="13"/>
    <n v="3"/>
    <n v="1"/>
    <n v="80"/>
    <n v="0"/>
    <n v="5"/>
    <n v="3"/>
    <n v="5"/>
    <n v="3"/>
    <n v="1"/>
    <n v="2"/>
  </r>
  <r>
    <s v="No"/>
    <s v="Travel_Rarely"/>
    <x v="2"/>
    <s v="Current Employees"/>
    <x v="0"/>
    <x v="1"/>
    <x v="1259"/>
    <x v="1259"/>
    <x v="1"/>
    <x v="0"/>
    <x v="0"/>
    <s v="No"/>
    <s v="Y"/>
    <n v="2"/>
    <n v="-2"/>
    <n v="0"/>
    <n v="34"/>
    <n v="0"/>
    <m/>
    <n v="0"/>
    <n v="1"/>
    <n v="1326"/>
    <n v="3"/>
    <x v="3"/>
    <n v="1"/>
    <n v="4"/>
    <n v="81"/>
    <n v="1"/>
    <n v="2"/>
    <n v="1"/>
    <n v="4759"/>
    <n v="15891"/>
    <n v="3"/>
    <n v="18"/>
    <n v="3"/>
    <n v="4"/>
    <n v="80"/>
    <n v="0"/>
    <n v="15"/>
    <n v="3"/>
    <n v="13"/>
    <n v="9"/>
    <n v="3"/>
    <n v="12"/>
  </r>
  <r>
    <s v="No"/>
    <s v="Travel_Rarely"/>
    <x v="4"/>
    <s v="Current Employees"/>
    <x v="0"/>
    <x v="0"/>
    <x v="1260"/>
    <x v="1260"/>
    <x v="1"/>
    <x v="6"/>
    <x v="0"/>
    <s v="No"/>
    <s v="Y"/>
    <n v="3"/>
    <n v="-2"/>
    <n v="0"/>
    <n v="20"/>
    <n v="0"/>
    <m/>
    <n v="0"/>
    <n v="1"/>
    <n v="727"/>
    <n v="9"/>
    <x v="1"/>
    <n v="1"/>
    <n v="4"/>
    <n v="54"/>
    <n v="3"/>
    <n v="1"/>
    <n v="1"/>
    <n v="2728"/>
    <n v="21082"/>
    <n v="1"/>
    <n v="11"/>
    <n v="3"/>
    <n v="1"/>
    <n v="80"/>
    <n v="0"/>
    <n v="2"/>
    <n v="3"/>
    <n v="2"/>
    <n v="2"/>
    <n v="0"/>
    <n v="2"/>
  </r>
  <r>
    <s v="No"/>
    <s v="Travel_Rarely"/>
    <x v="2"/>
    <s v="Current Employees"/>
    <x v="0"/>
    <x v="2"/>
    <x v="1261"/>
    <x v="1261"/>
    <x v="1"/>
    <x v="0"/>
    <x v="0"/>
    <s v="No"/>
    <s v="Y"/>
    <n v="4"/>
    <n v="-2"/>
    <n v="0"/>
    <n v="28"/>
    <n v="0"/>
    <m/>
    <n v="0"/>
    <n v="1"/>
    <n v="866"/>
    <n v="5"/>
    <x v="3"/>
    <n v="1"/>
    <n v="4"/>
    <n v="84"/>
    <n v="3"/>
    <n v="2"/>
    <n v="1"/>
    <n v="8463"/>
    <n v="23490"/>
    <n v="0"/>
    <n v="18"/>
    <n v="3"/>
    <n v="4"/>
    <n v="80"/>
    <n v="0"/>
    <n v="6"/>
    <n v="3"/>
    <n v="5"/>
    <n v="4"/>
    <n v="1"/>
    <n v="3"/>
  </r>
  <r>
    <s v="No"/>
    <s v="Travel_Rarely"/>
    <x v="0"/>
    <s v="Current Employees"/>
    <x v="0"/>
    <x v="3"/>
    <x v="1262"/>
    <x v="1262"/>
    <x v="1"/>
    <x v="0"/>
    <x v="0"/>
    <s v="No"/>
    <s v="Y"/>
    <n v="3"/>
    <n v="-2"/>
    <n v="0"/>
    <n v="41"/>
    <n v="0"/>
    <m/>
    <n v="0"/>
    <n v="1"/>
    <n v="918"/>
    <n v="6"/>
    <x v="3"/>
    <n v="1"/>
    <n v="4"/>
    <n v="35"/>
    <n v="3"/>
    <n v="3"/>
    <n v="1"/>
    <n v="9241"/>
    <n v="15869"/>
    <n v="1"/>
    <n v="12"/>
    <n v="3"/>
    <n v="2"/>
    <n v="80"/>
    <n v="0"/>
    <n v="10"/>
    <n v="3"/>
    <n v="10"/>
    <n v="8"/>
    <n v="8"/>
    <n v="7"/>
  </r>
  <r>
    <s v="No"/>
    <s v="Travel_Rarely"/>
    <x v="2"/>
    <s v="Current Employees"/>
    <x v="0"/>
    <x v="3"/>
    <x v="1263"/>
    <x v="1263"/>
    <x v="1"/>
    <x v="0"/>
    <x v="0"/>
    <s v="No"/>
    <s v="Y"/>
    <n v="5"/>
    <n v="-2"/>
    <n v="0"/>
    <n v="27"/>
    <n v="0"/>
    <m/>
    <n v="0"/>
    <n v="1"/>
    <n v="954"/>
    <n v="9"/>
    <x v="3"/>
    <n v="1"/>
    <n v="4"/>
    <n v="44"/>
    <n v="3"/>
    <n v="2"/>
    <n v="1"/>
    <n v="4105"/>
    <n v="5099"/>
    <n v="1"/>
    <n v="14"/>
    <n v="3"/>
    <n v="1"/>
    <n v="80"/>
    <n v="0"/>
    <n v="7"/>
    <n v="3"/>
    <n v="7"/>
    <n v="7"/>
    <n v="0"/>
    <n v="7"/>
  </r>
  <r>
    <s v="No"/>
    <s v="Travel_Rarely"/>
    <x v="1"/>
    <s v="Current Employees"/>
    <x v="0"/>
    <x v="0"/>
    <x v="1264"/>
    <x v="1264"/>
    <x v="1"/>
    <x v="5"/>
    <x v="0"/>
    <s v="No"/>
    <s v="Y"/>
    <n v="5"/>
    <n v="-2"/>
    <n v="0"/>
    <n v="46"/>
    <n v="0"/>
    <m/>
    <n v="0"/>
    <n v="1"/>
    <n v="563"/>
    <n v="1"/>
    <x v="2"/>
    <n v="1"/>
    <n v="4"/>
    <n v="56"/>
    <n v="4"/>
    <n v="4"/>
    <n v="1"/>
    <n v="17567"/>
    <n v="3156"/>
    <n v="1"/>
    <n v="15"/>
    <n v="3"/>
    <n v="2"/>
    <n v="80"/>
    <n v="0"/>
    <n v="27"/>
    <n v="1"/>
    <n v="26"/>
    <n v="0"/>
    <n v="0"/>
    <n v="12"/>
  </r>
  <r>
    <s v="No"/>
    <s v="Non-Travel"/>
    <x v="4"/>
    <s v="Current Employees"/>
    <x v="1"/>
    <x v="1"/>
    <x v="1265"/>
    <x v="1265"/>
    <x v="0"/>
    <x v="1"/>
    <x v="1"/>
    <s v="Yes"/>
    <s v="Y"/>
    <n v="2"/>
    <n v="-2"/>
    <n v="0"/>
    <n v="22"/>
    <n v="0"/>
    <m/>
    <n v="0"/>
    <n v="1"/>
    <n v="457"/>
    <n v="26"/>
    <x v="0"/>
    <n v="1"/>
    <n v="2"/>
    <n v="85"/>
    <n v="2"/>
    <n v="1"/>
    <n v="3"/>
    <n v="2814"/>
    <n v="10293"/>
    <n v="1"/>
    <n v="14"/>
    <n v="3"/>
    <n v="2"/>
    <n v="80"/>
    <n v="0"/>
    <n v="4"/>
    <n v="2"/>
    <n v="4"/>
    <n v="2"/>
    <n v="1"/>
    <n v="3"/>
  </r>
  <r>
    <s v="No"/>
    <s v="Travel_Frequently"/>
    <x v="0"/>
    <s v="Current Employees"/>
    <x v="1"/>
    <x v="2"/>
    <x v="1266"/>
    <x v="1266"/>
    <x v="0"/>
    <x v="1"/>
    <x v="2"/>
    <s v="Yes"/>
    <s v="Y"/>
    <n v="3"/>
    <n v="-2"/>
    <n v="0"/>
    <n v="38"/>
    <n v="0"/>
    <m/>
    <n v="0"/>
    <n v="1"/>
    <n v="1394"/>
    <n v="8"/>
    <x v="3"/>
    <n v="1"/>
    <n v="4"/>
    <n v="58"/>
    <n v="2"/>
    <n v="2"/>
    <n v="2"/>
    <n v="2133"/>
    <n v="18115"/>
    <n v="1"/>
    <n v="16"/>
    <n v="3"/>
    <n v="3"/>
    <n v="80"/>
    <n v="1"/>
    <n v="20"/>
    <n v="3"/>
    <n v="20"/>
    <n v="11"/>
    <n v="0"/>
    <n v="7"/>
  </r>
  <r>
    <s v="No"/>
    <s v="Travel_Frequently"/>
    <x v="4"/>
    <s v="Current Employees"/>
    <x v="1"/>
    <x v="4"/>
    <x v="1267"/>
    <x v="1267"/>
    <x v="0"/>
    <x v="1"/>
    <x v="0"/>
    <s v="Yes"/>
    <s v="Y"/>
    <n v="2"/>
    <n v="-2"/>
    <n v="0"/>
    <n v="24"/>
    <n v="0"/>
    <m/>
    <n v="0"/>
    <n v="1"/>
    <n v="567"/>
    <n v="2"/>
    <x v="1"/>
    <n v="1"/>
    <n v="4"/>
    <n v="32"/>
    <n v="3"/>
    <n v="1"/>
    <n v="4"/>
    <n v="3760"/>
    <n v="17218"/>
    <n v="1"/>
    <n v="13"/>
    <n v="3"/>
    <n v="3"/>
    <n v="80"/>
    <n v="0"/>
    <n v="6"/>
    <n v="3"/>
    <n v="6"/>
    <n v="3"/>
    <n v="1"/>
    <n v="3"/>
  </r>
  <r>
    <s v="No"/>
    <s v="Travel_Frequently"/>
    <x v="2"/>
    <s v="Current Employees"/>
    <x v="1"/>
    <x v="0"/>
    <x v="1268"/>
    <x v="1268"/>
    <x v="0"/>
    <x v="2"/>
    <x v="0"/>
    <s v="Yes"/>
    <s v="Y"/>
    <n v="3"/>
    <n v="-2"/>
    <n v="0"/>
    <n v="27"/>
    <n v="0"/>
    <m/>
    <n v="0"/>
    <n v="1"/>
    <n v="1297"/>
    <n v="5"/>
    <x v="0"/>
    <n v="1"/>
    <n v="4"/>
    <n v="53"/>
    <n v="3"/>
    <n v="1"/>
    <n v="4"/>
    <n v="2379"/>
    <n v="19826"/>
    <n v="0"/>
    <n v="14"/>
    <n v="3"/>
    <n v="3"/>
    <n v="80"/>
    <n v="0"/>
    <n v="6"/>
    <n v="2"/>
    <n v="5"/>
    <n v="4"/>
    <n v="0"/>
    <n v="2"/>
  </r>
  <r>
    <s v="No"/>
    <s v="Travel_Rarely"/>
    <x v="0"/>
    <s v="Current Employees"/>
    <x v="2"/>
    <x v="0"/>
    <x v="1269"/>
    <x v="1269"/>
    <x v="0"/>
    <x v="8"/>
    <x v="2"/>
    <s v="Yes"/>
    <s v="Y"/>
    <n v="2"/>
    <n v="-2"/>
    <n v="0"/>
    <n v="44"/>
    <n v="0"/>
    <m/>
    <n v="0"/>
    <n v="1"/>
    <n v="528"/>
    <n v="1"/>
    <x v="3"/>
    <n v="1"/>
    <n v="3"/>
    <n v="44"/>
    <n v="3"/>
    <n v="1"/>
    <n v="4"/>
    <n v="3195"/>
    <n v="4167"/>
    <n v="4"/>
    <n v="18"/>
    <n v="3"/>
    <n v="1"/>
    <n v="80"/>
    <n v="3"/>
    <n v="8"/>
    <n v="3"/>
    <n v="2"/>
    <n v="2"/>
    <n v="2"/>
    <n v="2"/>
  </r>
  <r>
    <s v="No"/>
    <s v="Travel_Rarely"/>
    <x v="0"/>
    <s v="Current Employees"/>
    <x v="2"/>
    <x v="0"/>
    <x v="1270"/>
    <x v="1270"/>
    <x v="0"/>
    <x v="8"/>
    <x v="0"/>
    <s v="Yes"/>
    <s v="Y"/>
    <n v="2"/>
    <n v="-2"/>
    <n v="0"/>
    <n v="35"/>
    <n v="0"/>
    <m/>
    <n v="0"/>
    <n v="1"/>
    <n v="1146"/>
    <n v="26"/>
    <x v="2"/>
    <n v="1"/>
    <n v="3"/>
    <n v="31"/>
    <n v="3"/>
    <n v="3"/>
    <n v="4"/>
    <n v="8837"/>
    <n v="16642"/>
    <n v="1"/>
    <n v="16"/>
    <n v="3"/>
    <n v="3"/>
    <n v="80"/>
    <n v="0"/>
    <n v="9"/>
    <n v="3"/>
    <n v="9"/>
    <n v="0"/>
    <n v="1"/>
    <n v="7"/>
  </r>
  <r>
    <s v="No"/>
    <s v="Travel_Rarely"/>
    <x v="0"/>
    <s v="Current Employees"/>
    <x v="1"/>
    <x v="2"/>
    <x v="1271"/>
    <x v="1271"/>
    <x v="0"/>
    <x v="7"/>
    <x v="2"/>
    <s v="Yes"/>
    <s v="Y"/>
    <n v="4"/>
    <n v="-2"/>
    <n v="0"/>
    <n v="44"/>
    <n v="0"/>
    <m/>
    <n v="0"/>
    <n v="1"/>
    <n v="1313"/>
    <n v="7"/>
    <x v="3"/>
    <n v="1"/>
    <n v="2"/>
    <n v="31"/>
    <n v="3"/>
    <n v="5"/>
    <n v="4"/>
    <n v="19049"/>
    <n v="3549"/>
    <n v="0"/>
    <n v="14"/>
    <n v="3"/>
    <n v="4"/>
    <n v="80"/>
    <n v="1"/>
    <n v="23"/>
    <n v="2"/>
    <n v="22"/>
    <n v="7"/>
    <n v="1"/>
    <n v="10"/>
  </r>
  <r>
    <s v="No"/>
    <s v="Travel_Rarely"/>
    <x v="1"/>
    <s v="Current Employees"/>
    <x v="1"/>
    <x v="0"/>
    <x v="1272"/>
    <x v="1272"/>
    <x v="0"/>
    <x v="3"/>
    <x v="2"/>
    <s v="Yes"/>
    <s v="Y"/>
    <n v="4"/>
    <n v="-2"/>
    <n v="0"/>
    <n v="47"/>
    <n v="0"/>
    <m/>
    <n v="0"/>
    <n v="1"/>
    <n v="1001"/>
    <n v="4"/>
    <x v="3"/>
    <n v="1"/>
    <n v="3"/>
    <n v="92"/>
    <n v="2"/>
    <n v="3"/>
    <n v="2"/>
    <n v="10333"/>
    <n v="19271"/>
    <n v="8"/>
    <n v="12"/>
    <n v="3"/>
    <n v="3"/>
    <n v="80"/>
    <n v="1"/>
    <n v="28"/>
    <n v="3"/>
    <n v="22"/>
    <n v="11"/>
    <n v="14"/>
    <n v="10"/>
  </r>
  <r>
    <s v="No"/>
    <s v="Travel_Rarely"/>
    <x v="1"/>
    <s v="Current Employees"/>
    <x v="1"/>
    <x v="2"/>
    <x v="1273"/>
    <x v="1273"/>
    <x v="0"/>
    <x v="2"/>
    <x v="2"/>
    <s v="Yes"/>
    <s v="Y"/>
    <n v="2"/>
    <n v="-2"/>
    <n v="0"/>
    <n v="49"/>
    <n v="0"/>
    <m/>
    <n v="0"/>
    <n v="1"/>
    <n v="464"/>
    <n v="16"/>
    <x v="3"/>
    <n v="1"/>
    <n v="4"/>
    <n v="74"/>
    <n v="3"/>
    <n v="1"/>
    <n v="1"/>
    <n v="2587"/>
    <n v="24941"/>
    <n v="4"/>
    <n v="16"/>
    <n v="3"/>
    <n v="2"/>
    <n v="80"/>
    <n v="1"/>
    <n v="17"/>
    <n v="2"/>
    <n v="2"/>
    <n v="2"/>
    <n v="2"/>
    <n v="2"/>
  </r>
  <r>
    <s v="No"/>
    <s v="Travel_Rarely"/>
    <x v="2"/>
    <s v="Current Employees"/>
    <x v="1"/>
    <x v="2"/>
    <x v="1274"/>
    <x v="1274"/>
    <x v="0"/>
    <x v="2"/>
    <x v="2"/>
    <s v="Yes"/>
    <s v="Y"/>
    <n v="4"/>
    <n v="-2"/>
    <n v="0"/>
    <n v="31"/>
    <n v="0"/>
    <m/>
    <n v="0"/>
    <n v="1"/>
    <n v="1276"/>
    <n v="2"/>
    <x v="1"/>
    <n v="1"/>
    <n v="4"/>
    <n v="59"/>
    <n v="1"/>
    <n v="1"/>
    <n v="4"/>
    <n v="1129"/>
    <n v="17536"/>
    <n v="1"/>
    <n v="11"/>
    <n v="3"/>
    <n v="3"/>
    <n v="80"/>
    <n v="3"/>
    <n v="1"/>
    <n v="3"/>
    <n v="1"/>
    <n v="0"/>
    <n v="0"/>
    <n v="0"/>
  </r>
  <r>
    <s v="No"/>
    <s v="Travel_Rarely"/>
    <x v="0"/>
    <s v="Current Employees"/>
    <x v="1"/>
    <x v="1"/>
    <x v="1275"/>
    <x v="1275"/>
    <x v="0"/>
    <x v="3"/>
    <x v="1"/>
    <s v="Yes"/>
    <s v="Y"/>
    <n v="2"/>
    <n v="-2"/>
    <n v="0"/>
    <n v="35"/>
    <n v="0"/>
    <m/>
    <n v="0"/>
    <n v="1"/>
    <n v="219"/>
    <n v="16"/>
    <x v="0"/>
    <n v="1"/>
    <n v="4"/>
    <n v="44"/>
    <n v="2"/>
    <n v="2"/>
    <n v="2"/>
    <n v="4788"/>
    <n v="25388"/>
    <n v="0"/>
    <n v="11"/>
    <n v="3"/>
    <n v="4"/>
    <n v="80"/>
    <n v="0"/>
    <n v="4"/>
    <n v="3"/>
    <n v="3"/>
    <n v="2"/>
    <n v="0"/>
    <n v="2"/>
  </r>
  <r>
    <s v="No"/>
    <s v="Travel_Rarely"/>
    <x v="2"/>
    <s v="Current Employees"/>
    <x v="1"/>
    <x v="0"/>
    <x v="1276"/>
    <x v="1276"/>
    <x v="0"/>
    <x v="1"/>
    <x v="1"/>
    <s v="Yes"/>
    <s v="Y"/>
    <n v="3"/>
    <n v="-2"/>
    <n v="0"/>
    <n v="26"/>
    <n v="0"/>
    <m/>
    <n v="0"/>
    <n v="1"/>
    <n v="482"/>
    <n v="1"/>
    <x v="0"/>
    <n v="1"/>
    <n v="2"/>
    <n v="90"/>
    <n v="2"/>
    <n v="1"/>
    <n v="3"/>
    <n v="2933"/>
    <n v="14908"/>
    <n v="1"/>
    <n v="13"/>
    <n v="3"/>
    <n v="3"/>
    <n v="80"/>
    <n v="1"/>
    <n v="1"/>
    <n v="2"/>
    <n v="1"/>
    <n v="0"/>
    <n v="1"/>
    <n v="0"/>
  </r>
  <r>
    <s v="No"/>
    <s v="Travel_Rarely"/>
    <x v="0"/>
    <s v="Current Employees"/>
    <x v="1"/>
    <x v="0"/>
    <x v="1277"/>
    <x v="1277"/>
    <x v="0"/>
    <x v="3"/>
    <x v="1"/>
    <s v="Yes"/>
    <s v="Y"/>
    <n v="3"/>
    <n v="-2"/>
    <n v="0"/>
    <n v="40"/>
    <n v="0"/>
    <m/>
    <n v="0"/>
    <n v="1"/>
    <n v="369"/>
    <n v="8"/>
    <x v="0"/>
    <n v="1"/>
    <n v="2"/>
    <n v="92"/>
    <n v="3"/>
    <n v="2"/>
    <n v="1"/>
    <n v="6516"/>
    <n v="5041"/>
    <n v="2"/>
    <n v="16"/>
    <n v="3"/>
    <n v="2"/>
    <n v="80"/>
    <n v="1"/>
    <n v="18"/>
    <n v="3"/>
    <n v="1"/>
    <n v="0"/>
    <n v="0"/>
    <n v="0"/>
  </r>
  <r>
    <s v="No"/>
    <s v="Travel_Rarely"/>
    <x v="2"/>
    <s v="Current Employees"/>
    <x v="1"/>
    <x v="2"/>
    <x v="1278"/>
    <x v="1278"/>
    <x v="0"/>
    <x v="4"/>
    <x v="1"/>
    <s v="Yes"/>
    <s v="Y"/>
    <n v="6"/>
    <n v="-2"/>
    <n v="0"/>
    <n v="33"/>
    <n v="0"/>
    <m/>
    <n v="0"/>
    <n v="1"/>
    <n v="501"/>
    <n v="15"/>
    <x v="0"/>
    <n v="1"/>
    <n v="2"/>
    <n v="95"/>
    <n v="3"/>
    <n v="2"/>
    <n v="4"/>
    <n v="4878"/>
    <n v="21653"/>
    <n v="0"/>
    <n v="13"/>
    <n v="3"/>
    <n v="1"/>
    <n v="80"/>
    <n v="1"/>
    <n v="10"/>
    <n v="3"/>
    <n v="9"/>
    <n v="7"/>
    <n v="8"/>
    <n v="1"/>
  </r>
  <r>
    <s v="No"/>
    <s v="Travel_Rarely"/>
    <x v="1"/>
    <s v="Current Employees"/>
    <x v="1"/>
    <x v="0"/>
    <x v="1279"/>
    <x v="1279"/>
    <x v="0"/>
    <x v="4"/>
    <x v="1"/>
    <s v="Yes"/>
    <s v="Y"/>
    <n v="3"/>
    <n v="-2"/>
    <n v="0"/>
    <n v="49"/>
    <n v="0"/>
    <m/>
    <n v="0"/>
    <n v="1"/>
    <n v="465"/>
    <n v="6"/>
    <x v="1"/>
    <n v="1"/>
    <n v="3"/>
    <n v="41"/>
    <n v="2"/>
    <n v="4"/>
    <n v="3"/>
    <n v="13966"/>
    <n v="11652"/>
    <n v="2"/>
    <n v="19"/>
    <n v="3"/>
    <n v="2"/>
    <n v="80"/>
    <n v="1"/>
    <n v="30"/>
    <n v="3"/>
    <n v="15"/>
    <n v="11"/>
    <n v="2"/>
    <n v="12"/>
  </r>
  <r>
    <s v="No"/>
    <s v="Travel_Rarely"/>
    <x v="0"/>
    <s v="Current Employees"/>
    <x v="1"/>
    <x v="0"/>
    <x v="1280"/>
    <x v="1280"/>
    <x v="0"/>
    <x v="4"/>
    <x v="1"/>
    <s v="Yes"/>
    <s v="Y"/>
    <n v="2"/>
    <n v="-2"/>
    <n v="0"/>
    <n v="44"/>
    <n v="0"/>
    <m/>
    <n v="0"/>
    <n v="1"/>
    <n v="921"/>
    <n v="2"/>
    <x v="3"/>
    <n v="1"/>
    <n v="3"/>
    <n v="96"/>
    <n v="4"/>
    <n v="3"/>
    <n v="4"/>
    <n v="7879"/>
    <n v="14810"/>
    <n v="1"/>
    <n v="19"/>
    <n v="3"/>
    <n v="2"/>
    <n v="80"/>
    <n v="1"/>
    <n v="9"/>
    <n v="3"/>
    <n v="8"/>
    <n v="7"/>
    <n v="6"/>
    <n v="7"/>
  </r>
  <r>
    <s v="No"/>
    <s v="Travel_Rarely"/>
    <x v="0"/>
    <s v="Current Employees"/>
    <x v="1"/>
    <x v="2"/>
    <x v="1281"/>
    <x v="1281"/>
    <x v="0"/>
    <x v="3"/>
    <x v="1"/>
    <s v="Yes"/>
    <s v="Y"/>
    <n v="6"/>
    <n v="-2"/>
    <n v="0"/>
    <n v="38"/>
    <n v="0"/>
    <m/>
    <n v="0"/>
    <n v="1"/>
    <n v="397"/>
    <n v="2"/>
    <x v="0"/>
    <n v="1"/>
    <n v="4"/>
    <n v="54"/>
    <n v="2"/>
    <n v="3"/>
    <n v="3"/>
    <n v="7756"/>
    <n v="14199"/>
    <n v="3"/>
    <n v="19"/>
    <n v="3"/>
    <n v="4"/>
    <n v="80"/>
    <n v="1"/>
    <n v="10"/>
    <n v="4"/>
    <n v="5"/>
    <n v="4"/>
    <n v="0"/>
    <n v="2"/>
  </r>
  <r>
    <s v="No"/>
    <s v="Travel_Rarely"/>
    <x v="0"/>
    <s v="Current Employees"/>
    <x v="1"/>
    <x v="0"/>
    <x v="1282"/>
    <x v="1282"/>
    <x v="0"/>
    <x v="3"/>
    <x v="1"/>
    <s v="Yes"/>
    <s v="Y"/>
    <n v="2"/>
    <n v="-2"/>
    <n v="0"/>
    <n v="36"/>
    <n v="0"/>
    <m/>
    <n v="0"/>
    <n v="1"/>
    <n v="559"/>
    <n v="12"/>
    <x v="2"/>
    <n v="1"/>
    <n v="3"/>
    <n v="76"/>
    <n v="3"/>
    <n v="2"/>
    <n v="3"/>
    <n v="4663"/>
    <n v="12421"/>
    <n v="9"/>
    <n v="12"/>
    <n v="3"/>
    <n v="2"/>
    <n v="80"/>
    <n v="2"/>
    <n v="7"/>
    <n v="3"/>
    <n v="3"/>
    <n v="2"/>
    <n v="1"/>
    <n v="1"/>
  </r>
  <r>
    <s v="No"/>
    <s v="Travel_Rarely"/>
    <x v="0"/>
    <s v="Current Employees"/>
    <x v="1"/>
    <x v="2"/>
    <x v="1283"/>
    <x v="1283"/>
    <x v="0"/>
    <x v="4"/>
    <x v="0"/>
    <s v="Yes"/>
    <s v="Y"/>
    <n v="4"/>
    <n v="-2"/>
    <n v="0"/>
    <n v="35"/>
    <n v="0"/>
    <m/>
    <n v="0"/>
    <n v="1"/>
    <n v="670"/>
    <n v="10"/>
    <x v="2"/>
    <n v="1"/>
    <n v="1"/>
    <n v="51"/>
    <n v="3"/>
    <n v="2"/>
    <n v="3"/>
    <n v="6142"/>
    <n v="4223"/>
    <n v="3"/>
    <n v="16"/>
    <n v="3"/>
    <n v="3"/>
    <n v="80"/>
    <n v="0"/>
    <n v="10"/>
    <n v="3"/>
    <n v="5"/>
    <n v="2"/>
    <n v="0"/>
    <n v="4"/>
  </r>
  <r>
    <s v="No"/>
    <s v="Travel_Rarely"/>
    <x v="1"/>
    <s v="Current Employees"/>
    <x v="1"/>
    <x v="2"/>
    <x v="1284"/>
    <x v="1284"/>
    <x v="0"/>
    <x v="2"/>
    <x v="0"/>
    <s v="Yes"/>
    <s v="Y"/>
    <n v="3"/>
    <n v="-2"/>
    <n v="0"/>
    <n v="45"/>
    <n v="0"/>
    <m/>
    <n v="0"/>
    <n v="1"/>
    <n v="1015"/>
    <n v="5"/>
    <x v="4"/>
    <n v="1"/>
    <n v="3"/>
    <n v="50"/>
    <n v="1"/>
    <n v="2"/>
    <n v="1"/>
    <n v="5769"/>
    <n v="23447"/>
    <n v="1"/>
    <n v="14"/>
    <n v="3"/>
    <n v="1"/>
    <n v="80"/>
    <n v="0"/>
    <n v="10"/>
    <n v="3"/>
    <n v="10"/>
    <n v="7"/>
    <n v="1"/>
    <n v="4"/>
  </r>
  <r>
    <s v="No"/>
    <s v="Travel_Rarely"/>
    <x v="1"/>
    <s v="Current Employees"/>
    <x v="1"/>
    <x v="2"/>
    <x v="1285"/>
    <x v="1285"/>
    <x v="0"/>
    <x v="3"/>
    <x v="0"/>
    <s v="Yes"/>
    <s v="Y"/>
    <n v="3"/>
    <n v="-2"/>
    <n v="0"/>
    <n v="54"/>
    <n v="0"/>
    <m/>
    <n v="0"/>
    <n v="1"/>
    <n v="157"/>
    <n v="10"/>
    <x v="3"/>
    <n v="1"/>
    <n v="3"/>
    <n v="77"/>
    <n v="3"/>
    <n v="2"/>
    <n v="1"/>
    <n v="4440"/>
    <n v="25198"/>
    <n v="6"/>
    <n v="19"/>
    <n v="3"/>
    <n v="4"/>
    <n v="80"/>
    <n v="0"/>
    <n v="9"/>
    <n v="3"/>
    <n v="5"/>
    <n v="2"/>
    <n v="1"/>
    <n v="4"/>
  </r>
  <r>
    <s v="No"/>
    <s v="Travel_Rarely"/>
    <x v="0"/>
    <s v="Current Employees"/>
    <x v="1"/>
    <x v="0"/>
    <x v="1286"/>
    <x v="1286"/>
    <x v="0"/>
    <x v="3"/>
    <x v="0"/>
    <s v="Yes"/>
    <s v="Y"/>
    <n v="2"/>
    <n v="-2"/>
    <n v="0"/>
    <n v="40"/>
    <n v="0"/>
    <m/>
    <n v="0"/>
    <n v="1"/>
    <n v="448"/>
    <n v="16"/>
    <x v="3"/>
    <n v="1"/>
    <n v="3"/>
    <n v="84"/>
    <n v="3"/>
    <n v="3"/>
    <n v="4"/>
    <n v="7945"/>
    <n v="19948"/>
    <n v="6"/>
    <n v="15"/>
    <n v="3"/>
    <n v="4"/>
    <n v="80"/>
    <n v="0"/>
    <n v="18"/>
    <n v="2"/>
    <n v="4"/>
    <n v="2"/>
    <n v="3"/>
    <n v="3"/>
  </r>
  <r>
    <s v="No"/>
    <s v="Travel_Rarely"/>
    <x v="0"/>
    <s v="Current Employees"/>
    <x v="0"/>
    <x v="3"/>
    <x v="1287"/>
    <x v="1287"/>
    <x v="0"/>
    <x v="0"/>
    <x v="2"/>
    <s v="Yes"/>
    <s v="Y"/>
    <n v="3"/>
    <n v="-2"/>
    <n v="0"/>
    <n v="41"/>
    <n v="0"/>
    <m/>
    <n v="0"/>
    <n v="1"/>
    <n v="796"/>
    <n v="4"/>
    <x v="1"/>
    <n v="1"/>
    <n v="3"/>
    <n v="81"/>
    <n v="3"/>
    <n v="3"/>
    <n v="1"/>
    <n v="10447"/>
    <n v="26458"/>
    <n v="0"/>
    <n v="13"/>
    <n v="3"/>
    <n v="4"/>
    <n v="80"/>
    <n v="1"/>
    <n v="23"/>
    <n v="4"/>
    <n v="22"/>
    <n v="14"/>
    <n v="13"/>
    <n v="5"/>
  </r>
  <r>
    <s v="No"/>
    <s v="Travel_Rarely"/>
    <x v="2"/>
    <s v="Current Employees"/>
    <x v="0"/>
    <x v="2"/>
    <x v="1288"/>
    <x v="1288"/>
    <x v="0"/>
    <x v="0"/>
    <x v="2"/>
    <s v="Yes"/>
    <s v="Y"/>
    <n v="2"/>
    <n v="-2"/>
    <n v="0"/>
    <n v="31"/>
    <n v="0"/>
    <m/>
    <n v="0"/>
    <n v="1"/>
    <n v="1079"/>
    <n v="10"/>
    <x v="0"/>
    <n v="1"/>
    <n v="3"/>
    <n v="86"/>
    <n v="3"/>
    <n v="2"/>
    <n v="4"/>
    <n v="6583"/>
    <n v="20115"/>
    <n v="2"/>
    <n v="11"/>
    <n v="3"/>
    <n v="4"/>
    <n v="80"/>
    <n v="1"/>
    <n v="8"/>
    <n v="3"/>
    <n v="5"/>
    <n v="2"/>
    <n v="1"/>
    <n v="4"/>
  </r>
  <r>
    <s v="No"/>
    <s v="Travel_Rarely"/>
    <x v="0"/>
    <s v="Current Employees"/>
    <x v="0"/>
    <x v="0"/>
    <x v="1289"/>
    <x v="1289"/>
    <x v="0"/>
    <x v="0"/>
    <x v="1"/>
    <s v="Yes"/>
    <s v="Y"/>
    <n v="2"/>
    <n v="-2"/>
    <n v="0"/>
    <n v="35"/>
    <n v="0"/>
    <m/>
    <n v="0"/>
    <n v="1"/>
    <n v="1224"/>
    <n v="7"/>
    <x v="2"/>
    <n v="1"/>
    <n v="3"/>
    <n v="55"/>
    <n v="3"/>
    <n v="2"/>
    <n v="4"/>
    <n v="5204"/>
    <n v="13586"/>
    <n v="1"/>
    <n v="11"/>
    <n v="3"/>
    <n v="4"/>
    <n v="80"/>
    <n v="0"/>
    <n v="10"/>
    <n v="3"/>
    <n v="10"/>
    <n v="8"/>
    <n v="0"/>
    <n v="9"/>
  </r>
  <r>
    <s v="No"/>
    <s v="Travel_Rarely"/>
    <x v="2"/>
    <s v="Current Employees"/>
    <x v="0"/>
    <x v="2"/>
    <x v="1290"/>
    <x v="1290"/>
    <x v="0"/>
    <x v="0"/>
    <x v="1"/>
    <s v="Yes"/>
    <s v="Y"/>
    <n v="3"/>
    <n v="-2"/>
    <n v="0"/>
    <n v="34"/>
    <n v="0"/>
    <m/>
    <n v="0"/>
    <n v="1"/>
    <n v="735"/>
    <n v="3"/>
    <x v="1"/>
    <n v="1"/>
    <n v="4"/>
    <n v="75"/>
    <n v="2"/>
    <n v="2"/>
    <n v="4"/>
    <n v="8103"/>
    <n v="16495"/>
    <n v="3"/>
    <n v="12"/>
    <n v="3"/>
    <n v="3"/>
    <n v="80"/>
    <n v="0"/>
    <n v="9"/>
    <n v="2"/>
    <n v="4"/>
    <n v="2"/>
    <n v="0"/>
    <n v="1"/>
  </r>
  <r>
    <s v="No"/>
    <s v="Travel_Rarely"/>
    <x v="0"/>
    <s v="Current Employees"/>
    <x v="0"/>
    <x v="4"/>
    <x v="1291"/>
    <x v="1291"/>
    <x v="0"/>
    <x v="0"/>
    <x v="1"/>
    <s v="Yes"/>
    <s v="Y"/>
    <n v="4"/>
    <n v="-2"/>
    <n v="0"/>
    <n v="36"/>
    <n v="0"/>
    <m/>
    <n v="0"/>
    <n v="1"/>
    <n v="1266"/>
    <n v="10"/>
    <x v="2"/>
    <n v="1"/>
    <n v="4"/>
    <n v="63"/>
    <n v="2"/>
    <n v="2"/>
    <n v="4"/>
    <n v="5673"/>
    <n v="6060"/>
    <n v="1"/>
    <n v="13"/>
    <n v="3"/>
    <n v="1"/>
    <n v="80"/>
    <n v="1"/>
    <n v="10"/>
    <n v="3"/>
    <n v="10"/>
    <n v="9"/>
    <n v="1"/>
    <n v="7"/>
  </r>
  <r>
    <s v="No"/>
    <s v="Travel_Rarely"/>
    <x v="1"/>
    <s v="Current Employees"/>
    <x v="0"/>
    <x v="2"/>
    <x v="1292"/>
    <x v="1292"/>
    <x v="0"/>
    <x v="0"/>
    <x v="1"/>
    <s v="Yes"/>
    <s v="Y"/>
    <n v="4"/>
    <n v="-2"/>
    <n v="0"/>
    <n v="47"/>
    <n v="0"/>
    <m/>
    <n v="0"/>
    <n v="1"/>
    <n v="571"/>
    <n v="14"/>
    <x v="3"/>
    <n v="1"/>
    <n v="3"/>
    <n v="78"/>
    <n v="3"/>
    <n v="2"/>
    <n v="3"/>
    <n v="4591"/>
    <n v="24200"/>
    <n v="3"/>
    <n v="17"/>
    <n v="3"/>
    <n v="3"/>
    <n v="80"/>
    <n v="1"/>
    <n v="11"/>
    <n v="2"/>
    <n v="5"/>
    <n v="4"/>
    <n v="1"/>
    <n v="2"/>
  </r>
  <r>
    <s v="No"/>
    <s v="Travel_Rarely"/>
    <x v="3"/>
    <s v="Current Employees"/>
    <x v="0"/>
    <x v="0"/>
    <x v="1293"/>
    <x v="1293"/>
    <x v="0"/>
    <x v="5"/>
    <x v="1"/>
    <s v="Yes"/>
    <s v="Y"/>
    <n v="2"/>
    <n v="-2"/>
    <n v="0"/>
    <n v="58"/>
    <n v="0"/>
    <m/>
    <n v="0"/>
    <n v="1"/>
    <n v="605"/>
    <n v="21"/>
    <x v="3"/>
    <n v="1"/>
    <n v="4"/>
    <n v="72"/>
    <n v="3"/>
    <n v="4"/>
    <n v="4"/>
    <n v="17875"/>
    <n v="11761"/>
    <n v="4"/>
    <n v="13"/>
    <n v="3"/>
    <n v="3"/>
    <n v="80"/>
    <n v="1"/>
    <n v="29"/>
    <n v="2"/>
    <n v="1"/>
    <n v="0"/>
    <n v="0"/>
    <n v="0"/>
  </r>
  <r>
    <s v="No"/>
    <s v="Travel_Rarely"/>
    <x v="4"/>
    <s v="Current Employees"/>
    <x v="0"/>
    <x v="2"/>
    <x v="1294"/>
    <x v="1294"/>
    <x v="0"/>
    <x v="0"/>
    <x v="1"/>
    <s v="Yes"/>
    <s v="Y"/>
    <n v="3"/>
    <n v="-2"/>
    <n v="0"/>
    <n v="24"/>
    <n v="0"/>
    <m/>
    <n v="0"/>
    <n v="1"/>
    <n v="1476"/>
    <n v="4"/>
    <x v="1"/>
    <n v="1"/>
    <n v="4"/>
    <n v="42"/>
    <n v="3"/>
    <n v="2"/>
    <n v="3"/>
    <n v="4162"/>
    <n v="15211"/>
    <n v="1"/>
    <n v="12"/>
    <n v="3"/>
    <n v="3"/>
    <n v="80"/>
    <n v="2"/>
    <n v="5"/>
    <n v="3"/>
    <n v="5"/>
    <n v="4"/>
    <n v="0"/>
    <n v="3"/>
  </r>
  <r>
    <s v="No"/>
    <s v="Travel_Rarely"/>
    <x v="0"/>
    <s v="Current Employees"/>
    <x v="0"/>
    <x v="3"/>
    <x v="1295"/>
    <x v="1295"/>
    <x v="0"/>
    <x v="0"/>
    <x v="0"/>
    <s v="Yes"/>
    <s v="Y"/>
    <n v="3"/>
    <n v="-2"/>
    <n v="0"/>
    <n v="36"/>
    <n v="0"/>
    <m/>
    <n v="0"/>
    <n v="1"/>
    <n v="1174"/>
    <n v="3"/>
    <x v="2"/>
    <n v="1"/>
    <n v="1"/>
    <n v="99"/>
    <n v="3"/>
    <n v="2"/>
    <n v="1"/>
    <n v="9278"/>
    <n v="20763"/>
    <n v="3"/>
    <n v="16"/>
    <n v="3"/>
    <n v="4"/>
    <n v="80"/>
    <n v="0"/>
    <n v="15"/>
    <n v="3"/>
    <n v="5"/>
    <n v="4"/>
    <n v="0"/>
    <n v="1"/>
  </r>
  <r>
    <s v="No"/>
    <s v="Non-Travel"/>
    <x v="0"/>
    <s v="Current Employees"/>
    <x v="1"/>
    <x v="0"/>
    <x v="1296"/>
    <x v="1296"/>
    <x v="1"/>
    <x v="4"/>
    <x v="2"/>
    <s v="Yes"/>
    <s v="Y"/>
    <n v="2"/>
    <n v="-2"/>
    <n v="0"/>
    <n v="40"/>
    <n v="0"/>
    <m/>
    <n v="0"/>
    <n v="1"/>
    <n v="1142"/>
    <n v="8"/>
    <x v="0"/>
    <n v="1"/>
    <n v="4"/>
    <n v="72"/>
    <n v="3"/>
    <n v="2"/>
    <n v="4"/>
    <n v="4069"/>
    <n v="8841"/>
    <n v="3"/>
    <n v="18"/>
    <n v="3"/>
    <n v="3"/>
    <n v="80"/>
    <n v="0"/>
    <n v="8"/>
    <n v="3"/>
    <n v="2"/>
    <n v="2"/>
    <n v="2"/>
    <n v="2"/>
  </r>
  <r>
    <s v="No"/>
    <s v="Non-Travel"/>
    <x v="2"/>
    <s v="Current Employees"/>
    <x v="1"/>
    <x v="2"/>
    <x v="1297"/>
    <x v="1297"/>
    <x v="1"/>
    <x v="1"/>
    <x v="2"/>
    <s v="Yes"/>
    <s v="Y"/>
    <n v="3"/>
    <n v="-2"/>
    <n v="0"/>
    <n v="31"/>
    <n v="0"/>
    <m/>
    <n v="0"/>
    <n v="1"/>
    <n v="976"/>
    <n v="3"/>
    <x v="0"/>
    <n v="1"/>
    <n v="3"/>
    <n v="48"/>
    <n v="3"/>
    <n v="1"/>
    <n v="1"/>
    <n v="3065"/>
    <n v="3995"/>
    <n v="1"/>
    <n v="13"/>
    <n v="3"/>
    <n v="4"/>
    <n v="80"/>
    <n v="1"/>
    <n v="4"/>
    <n v="4"/>
    <n v="4"/>
    <n v="2"/>
    <n v="2"/>
    <n v="3"/>
  </r>
  <r>
    <s v="No"/>
    <s v="Non-Travel"/>
    <x v="0"/>
    <s v="Current Employees"/>
    <x v="1"/>
    <x v="0"/>
    <x v="1298"/>
    <x v="1298"/>
    <x v="1"/>
    <x v="2"/>
    <x v="1"/>
    <s v="Yes"/>
    <s v="Y"/>
    <n v="2"/>
    <n v="-2"/>
    <n v="0"/>
    <n v="39"/>
    <n v="0"/>
    <m/>
    <n v="0"/>
    <n v="1"/>
    <n v="792"/>
    <n v="1"/>
    <x v="3"/>
    <n v="1"/>
    <n v="4"/>
    <n v="77"/>
    <n v="3"/>
    <n v="2"/>
    <n v="4"/>
    <n v="6472"/>
    <n v="8989"/>
    <n v="1"/>
    <n v="15"/>
    <n v="3"/>
    <n v="4"/>
    <n v="80"/>
    <n v="1"/>
    <n v="9"/>
    <n v="3"/>
    <n v="9"/>
    <n v="8"/>
    <n v="5"/>
    <n v="8"/>
  </r>
  <r>
    <s v="No"/>
    <s v="Non-Travel"/>
    <x v="2"/>
    <s v="Current Employees"/>
    <x v="0"/>
    <x v="0"/>
    <x v="1299"/>
    <x v="1299"/>
    <x v="1"/>
    <x v="0"/>
    <x v="2"/>
    <s v="Yes"/>
    <s v="Y"/>
    <n v="3"/>
    <n v="-2"/>
    <n v="0"/>
    <n v="34"/>
    <n v="0"/>
    <m/>
    <n v="0"/>
    <n v="1"/>
    <n v="1375"/>
    <n v="10"/>
    <x v="3"/>
    <n v="1"/>
    <n v="4"/>
    <n v="87"/>
    <n v="3"/>
    <n v="2"/>
    <n v="3"/>
    <n v="4001"/>
    <n v="12313"/>
    <n v="1"/>
    <n v="14"/>
    <n v="3"/>
    <n v="3"/>
    <n v="80"/>
    <n v="1"/>
    <n v="15"/>
    <n v="3"/>
    <n v="15"/>
    <n v="14"/>
    <n v="0"/>
    <n v="7"/>
  </r>
  <r>
    <s v="No"/>
    <s v="Travel_Frequently"/>
    <x v="0"/>
    <s v="Current Employees"/>
    <x v="2"/>
    <x v="5"/>
    <x v="1300"/>
    <x v="1300"/>
    <x v="1"/>
    <x v="8"/>
    <x v="1"/>
    <s v="Yes"/>
    <s v="Y"/>
    <n v="3"/>
    <n v="-2"/>
    <n v="0"/>
    <n v="44"/>
    <n v="0"/>
    <m/>
    <n v="0"/>
    <n v="1"/>
    <n v="602"/>
    <n v="1"/>
    <x v="4"/>
    <n v="1"/>
    <n v="1"/>
    <n v="37"/>
    <n v="3"/>
    <n v="2"/>
    <n v="4"/>
    <n v="5743"/>
    <n v="10503"/>
    <n v="4"/>
    <n v="11"/>
    <n v="3"/>
    <n v="3"/>
    <n v="80"/>
    <n v="0"/>
    <n v="14"/>
    <n v="3"/>
    <n v="10"/>
    <n v="7"/>
    <n v="0"/>
    <n v="2"/>
  </r>
  <r>
    <s v="No"/>
    <s v="Travel_Frequently"/>
    <x v="0"/>
    <s v="Current Employees"/>
    <x v="2"/>
    <x v="1"/>
    <x v="1301"/>
    <x v="1301"/>
    <x v="1"/>
    <x v="8"/>
    <x v="1"/>
    <s v="Yes"/>
    <s v="Y"/>
    <n v="2"/>
    <n v="-2"/>
    <n v="0"/>
    <n v="38"/>
    <n v="0"/>
    <m/>
    <n v="0"/>
    <n v="1"/>
    <n v="1444"/>
    <n v="1"/>
    <x v="2"/>
    <n v="1"/>
    <n v="4"/>
    <n v="88"/>
    <n v="3"/>
    <n v="1"/>
    <n v="2"/>
    <n v="2991"/>
    <n v="5224"/>
    <n v="0"/>
    <n v="11"/>
    <n v="3"/>
    <n v="2"/>
    <n v="80"/>
    <n v="1"/>
    <n v="7"/>
    <n v="3"/>
    <n v="6"/>
    <n v="2"/>
    <n v="1"/>
    <n v="2"/>
  </r>
  <r>
    <s v="No"/>
    <s v="Travel_Frequently"/>
    <x v="3"/>
    <s v="Current Employees"/>
    <x v="1"/>
    <x v="0"/>
    <x v="1302"/>
    <x v="1302"/>
    <x v="1"/>
    <x v="7"/>
    <x v="1"/>
    <s v="Yes"/>
    <s v="Y"/>
    <n v="3"/>
    <n v="-2"/>
    <n v="0"/>
    <n v="58"/>
    <n v="0"/>
    <m/>
    <n v="0"/>
    <n v="1"/>
    <n v="1216"/>
    <n v="15"/>
    <x v="2"/>
    <n v="1"/>
    <n v="1"/>
    <n v="87"/>
    <n v="3"/>
    <n v="4"/>
    <n v="3"/>
    <n v="15787"/>
    <n v="21624"/>
    <n v="2"/>
    <n v="14"/>
    <n v="3"/>
    <n v="2"/>
    <n v="80"/>
    <n v="0"/>
    <n v="23"/>
    <n v="3"/>
    <n v="2"/>
    <n v="2"/>
    <n v="2"/>
    <n v="2"/>
  </r>
  <r>
    <s v="No"/>
    <s v="Travel_Frequently"/>
    <x v="2"/>
    <s v="Current Employees"/>
    <x v="1"/>
    <x v="1"/>
    <x v="1303"/>
    <x v="1303"/>
    <x v="1"/>
    <x v="1"/>
    <x v="1"/>
    <s v="Yes"/>
    <s v="Y"/>
    <n v="3"/>
    <n v="-2"/>
    <n v="0"/>
    <n v="34"/>
    <n v="0"/>
    <m/>
    <n v="0"/>
    <n v="1"/>
    <n v="735"/>
    <n v="22"/>
    <x v="2"/>
    <n v="1"/>
    <n v="3"/>
    <n v="86"/>
    <n v="2"/>
    <n v="2"/>
    <n v="4"/>
    <n v="5747"/>
    <n v="26496"/>
    <n v="1"/>
    <n v="15"/>
    <n v="3"/>
    <n v="2"/>
    <n v="80"/>
    <n v="0"/>
    <n v="16"/>
    <n v="3"/>
    <n v="15"/>
    <n v="10"/>
    <n v="6"/>
    <n v="11"/>
  </r>
  <r>
    <s v="No"/>
    <s v="Travel_Frequently"/>
    <x v="0"/>
    <s v="Current Employees"/>
    <x v="1"/>
    <x v="0"/>
    <x v="1304"/>
    <x v="1304"/>
    <x v="1"/>
    <x v="2"/>
    <x v="1"/>
    <s v="Yes"/>
    <s v="Y"/>
    <n v="3"/>
    <n v="-2"/>
    <n v="0"/>
    <n v="36"/>
    <n v="0"/>
    <m/>
    <n v="0"/>
    <n v="1"/>
    <n v="1302"/>
    <n v="6"/>
    <x v="2"/>
    <n v="1"/>
    <n v="1"/>
    <n v="80"/>
    <n v="4"/>
    <n v="2"/>
    <n v="1"/>
    <n v="5562"/>
    <n v="19711"/>
    <n v="3"/>
    <n v="13"/>
    <n v="3"/>
    <n v="4"/>
    <n v="80"/>
    <n v="1"/>
    <n v="9"/>
    <n v="3"/>
    <n v="3"/>
    <n v="2"/>
    <n v="0"/>
    <n v="2"/>
  </r>
  <r>
    <s v="No"/>
    <s v="Travel_Frequently"/>
    <x v="1"/>
    <s v="Current Employees"/>
    <x v="1"/>
    <x v="2"/>
    <x v="1305"/>
    <x v="1305"/>
    <x v="1"/>
    <x v="4"/>
    <x v="1"/>
    <s v="Yes"/>
    <s v="Y"/>
    <n v="3"/>
    <n v="-2"/>
    <n v="0"/>
    <n v="50"/>
    <n v="0"/>
    <m/>
    <n v="0"/>
    <n v="1"/>
    <n v="1234"/>
    <n v="20"/>
    <x v="4"/>
    <n v="1"/>
    <n v="2"/>
    <n v="41"/>
    <n v="3"/>
    <n v="4"/>
    <n v="3"/>
    <n v="11245"/>
    <n v="20689"/>
    <n v="2"/>
    <n v="15"/>
    <n v="3"/>
    <n v="3"/>
    <n v="80"/>
    <n v="1"/>
    <n v="32"/>
    <n v="3"/>
    <n v="30"/>
    <n v="8"/>
    <n v="12"/>
    <n v="13"/>
  </r>
  <r>
    <s v="No"/>
    <s v="Travel_Frequently"/>
    <x v="0"/>
    <s v="Current Employees"/>
    <x v="1"/>
    <x v="0"/>
    <x v="1306"/>
    <x v="1306"/>
    <x v="1"/>
    <x v="4"/>
    <x v="1"/>
    <s v="Yes"/>
    <s v="Y"/>
    <n v="3"/>
    <n v="-2"/>
    <n v="0"/>
    <n v="42"/>
    <n v="0"/>
    <m/>
    <n v="0"/>
    <n v="1"/>
    <n v="288"/>
    <n v="2"/>
    <x v="3"/>
    <n v="1"/>
    <n v="4"/>
    <n v="40"/>
    <n v="3"/>
    <n v="3"/>
    <n v="4"/>
    <n v="10124"/>
    <n v="18611"/>
    <n v="2"/>
    <n v="14"/>
    <n v="3"/>
    <n v="3"/>
    <n v="80"/>
    <n v="1"/>
    <n v="24"/>
    <n v="1"/>
    <n v="20"/>
    <n v="8"/>
    <n v="13"/>
    <n v="9"/>
  </r>
  <r>
    <s v="No"/>
    <s v="Travel_Frequently"/>
    <x v="0"/>
    <s v="Current Employees"/>
    <x v="1"/>
    <x v="0"/>
    <x v="1307"/>
    <x v="1307"/>
    <x v="1"/>
    <x v="4"/>
    <x v="1"/>
    <s v="Yes"/>
    <s v="Y"/>
    <n v="2"/>
    <n v="-2"/>
    <n v="0"/>
    <n v="35"/>
    <n v="0"/>
    <m/>
    <n v="0"/>
    <n v="1"/>
    <n v="1199"/>
    <n v="18"/>
    <x v="2"/>
    <n v="1"/>
    <n v="3"/>
    <n v="80"/>
    <n v="3"/>
    <n v="2"/>
    <n v="3"/>
    <n v="5689"/>
    <n v="24594"/>
    <n v="1"/>
    <n v="14"/>
    <n v="3"/>
    <n v="4"/>
    <n v="80"/>
    <n v="2"/>
    <n v="10"/>
    <n v="4"/>
    <n v="10"/>
    <n v="2"/>
    <n v="0"/>
    <n v="2"/>
  </r>
  <r>
    <s v="No"/>
    <s v="Travel_Frequently"/>
    <x v="0"/>
    <s v="Current Employees"/>
    <x v="1"/>
    <x v="2"/>
    <x v="1308"/>
    <x v="1308"/>
    <x v="1"/>
    <x v="1"/>
    <x v="0"/>
    <s v="Yes"/>
    <s v="Y"/>
    <n v="2"/>
    <n v="-2"/>
    <n v="0"/>
    <n v="35"/>
    <n v="0"/>
    <m/>
    <n v="0"/>
    <n v="1"/>
    <n v="146"/>
    <n v="2"/>
    <x v="2"/>
    <n v="1"/>
    <n v="1"/>
    <n v="79"/>
    <n v="2"/>
    <n v="1"/>
    <n v="4"/>
    <n v="4930"/>
    <n v="13970"/>
    <n v="0"/>
    <n v="14"/>
    <n v="3"/>
    <n v="3"/>
    <n v="80"/>
    <n v="0"/>
    <n v="6"/>
    <n v="4"/>
    <n v="5"/>
    <n v="4"/>
    <n v="1"/>
    <n v="4"/>
  </r>
  <r>
    <s v="No"/>
    <s v="Travel_Frequently"/>
    <x v="0"/>
    <s v="Current Employees"/>
    <x v="1"/>
    <x v="2"/>
    <x v="1309"/>
    <x v="1309"/>
    <x v="1"/>
    <x v="3"/>
    <x v="0"/>
    <s v="Yes"/>
    <s v="Y"/>
    <n v="2"/>
    <n v="-2"/>
    <n v="0"/>
    <n v="44"/>
    <n v="0"/>
    <m/>
    <n v="0"/>
    <n v="1"/>
    <n v="1193"/>
    <n v="2"/>
    <x v="1"/>
    <n v="1"/>
    <n v="2"/>
    <n v="86"/>
    <n v="3"/>
    <n v="3"/>
    <n v="3"/>
    <n v="10209"/>
    <n v="19719"/>
    <n v="5"/>
    <n v="18"/>
    <n v="3"/>
    <n v="2"/>
    <n v="80"/>
    <n v="0"/>
    <n v="16"/>
    <n v="2"/>
    <n v="2"/>
    <n v="2"/>
    <n v="2"/>
    <n v="2"/>
  </r>
  <r>
    <s v="No"/>
    <s v="Travel_Frequently"/>
    <x v="1"/>
    <s v="Current Employees"/>
    <x v="1"/>
    <x v="2"/>
    <x v="1310"/>
    <x v="1310"/>
    <x v="1"/>
    <x v="7"/>
    <x v="0"/>
    <s v="Yes"/>
    <s v="Y"/>
    <n v="2"/>
    <n v="-2"/>
    <n v="0"/>
    <n v="50"/>
    <n v="0"/>
    <m/>
    <n v="0"/>
    <n v="1"/>
    <n v="333"/>
    <n v="22"/>
    <x v="4"/>
    <n v="1"/>
    <n v="3"/>
    <n v="88"/>
    <n v="1"/>
    <n v="4"/>
    <n v="4"/>
    <n v="14411"/>
    <n v="24450"/>
    <n v="1"/>
    <n v="13"/>
    <n v="3"/>
    <n v="4"/>
    <n v="80"/>
    <n v="0"/>
    <n v="32"/>
    <n v="3"/>
    <n v="32"/>
    <n v="6"/>
    <n v="13"/>
    <n v="9"/>
  </r>
  <r>
    <s v="No"/>
    <s v="Travel_Frequently"/>
    <x v="2"/>
    <s v="Current Employees"/>
    <x v="1"/>
    <x v="0"/>
    <x v="1311"/>
    <x v="1311"/>
    <x v="1"/>
    <x v="4"/>
    <x v="0"/>
    <s v="Yes"/>
    <s v="Y"/>
    <n v="5"/>
    <n v="-2"/>
    <n v="0"/>
    <n v="29"/>
    <n v="0"/>
    <m/>
    <n v="0"/>
    <n v="1"/>
    <n v="461"/>
    <n v="1"/>
    <x v="3"/>
    <n v="1"/>
    <n v="4"/>
    <n v="70"/>
    <n v="4"/>
    <n v="2"/>
    <n v="3"/>
    <n v="6294"/>
    <n v="23060"/>
    <n v="8"/>
    <n v="12"/>
    <n v="3"/>
    <n v="4"/>
    <n v="80"/>
    <n v="0"/>
    <n v="10"/>
    <n v="4"/>
    <n v="3"/>
    <n v="2"/>
    <n v="0"/>
    <n v="2"/>
  </r>
  <r>
    <s v="No"/>
    <s v="Travel_Frequently"/>
    <x v="2"/>
    <s v="Current Employees"/>
    <x v="0"/>
    <x v="0"/>
    <x v="1312"/>
    <x v="1312"/>
    <x v="1"/>
    <x v="0"/>
    <x v="1"/>
    <s v="Yes"/>
    <s v="Y"/>
    <n v="2"/>
    <n v="-2"/>
    <n v="0"/>
    <n v="28"/>
    <n v="0"/>
    <m/>
    <n v="0"/>
    <n v="1"/>
    <n v="783"/>
    <n v="1"/>
    <x v="0"/>
    <n v="1"/>
    <n v="3"/>
    <n v="42"/>
    <n v="2"/>
    <n v="2"/>
    <n v="4"/>
    <n v="6834"/>
    <n v="19255"/>
    <n v="1"/>
    <n v="12"/>
    <n v="3"/>
    <n v="3"/>
    <n v="80"/>
    <n v="1"/>
    <n v="7"/>
    <n v="3"/>
    <n v="7"/>
    <n v="7"/>
    <n v="0"/>
    <n v="7"/>
  </r>
  <r>
    <s v="No"/>
    <s v="Travel_Rarely"/>
    <x v="3"/>
    <s v="Current Employees"/>
    <x v="2"/>
    <x v="5"/>
    <x v="1313"/>
    <x v="1313"/>
    <x v="1"/>
    <x v="5"/>
    <x v="1"/>
    <s v="Yes"/>
    <s v="Y"/>
    <n v="0"/>
    <n v="-2"/>
    <n v="0"/>
    <n v="55"/>
    <n v="0"/>
    <m/>
    <n v="0"/>
    <n v="1"/>
    <n v="189"/>
    <n v="26"/>
    <x v="2"/>
    <n v="1"/>
    <n v="3"/>
    <n v="71"/>
    <n v="4"/>
    <n v="5"/>
    <n v="2"/>
    <n v="19636"/>
    <n v="25811"/>
    <n v="4"/>
    <n v="18"/>
    <n v="3"/>
    <n v="1"/>
    <n v="80"/>
    <n v="1"/>
    <n v="35"/>
    <n v="3"/>
    <n v="10"/>
    <n v="9"/>
    <n v="1"/>
    <n v="4"/>
  </r>
  <r>
    <s v="No"/>
    <s v="Travel_Rarely"/>
    <x v="1"/>
    <s v="Current Employees"/>
    <x v="1"/>
    <x v="2"/>
    <x v="1314"/>
    <x v="1314"/>
    <x v="1"/>
    <x v="4"/>
    <x v="2"/>
    <s v="Yes"/>
    <s v="Y"/>
    <n v="2"/>
    <n v="-2"/>
    <n v="0"/>
    <n v="45"/>
    <n v="0"/>
    <m/>
    <n v="0"/>
    <n v="1"/>
    <n v="1038"/>
    <n v="20"/>
    <x v="3"/>
    <n v="1"/>
    <n v="2"/>
    <n v="95"/>
    <n v="1"/>
    <n v="3"/>
    <n v="1"/>
    <n v="10851"/>
    <n v="19863"/>
    <n v="2"/>
    <n v="18"/>
    <n v="3"/>
    <n v="2"/>
    <n v="80"/>
    <n v="1"/>
    <n v="24"/>
    <n v="3"/>
    <n v="7"/>
    <n v="7"/>
    <n v="0"/>
    <n v="7"/>
  </r>
  <r>
    <s v="No"/>
    <s v="Travel_Rarely"/>
    <x v="1"/>
    <s v="Current Employees"/>
    <x v="1"/>
    <x v="2"/>
    <x v="1315"/>
    <x v="1315"/>
    <x v="1"/>
    <x v="7"/>
    <x v="2"/>
    <s v="Yes"/>
    <s v="Y"/>
    <n v="3"/>
    <n v="-2"/>
    <n v="0"/>
    <n v="46"/>
    <n v="0"/>
    <m/>
    <n v="0"/>
    <n v="1"/>
    <n v="734"/>
    <n v="2"/>
    <x v="2"/>
    <n v="1"/>
    <n v="3"/>
    <n v="46"/>
    <n v="3"/>
    <n v="5"/>
    <n v="4"/>
    <n v="19328"/>
    <n v="14218"/>
    <n v="7"/>
    <n v="17"/>
    <n v="3"/>
    <n v="3"/>
    <n v="80"/>
    <n v="1"/>
    <n v="24"/>
    <n v="3"/>
    <n v="2"/>
    <n v="1"/>
    <n v="2"/>
    <n v="2"/>
  </r>
  <r>
    <s v="No"/>
    <s v="Travel_Rarely"/>
    <x v="0"/>
    <s v="Current Employees"/>
    <x v="1"/>
    <x v="0"/>
    <x v="1316"/>
    <x v="1316"/>
    <x v="1"/>
    <x v="1"/>
    <x v="2"/>
    <s v="Yes"/>
    <s v="Y"/>
    <n v="3"/>
    <n v="-2"/>
    <n v="0"/>
    <n v="42"/>
    <n v="0"/>
    <m/>
    <n v="0"/>
    <n v="1"/>
    <n v="557"/>
    <n v="18"/>
    <x v="2"/>
    <n v="1"/>
    <n v="4"/>
    <n v="35"/>
    <n v="3"/>
    <n v="2"/>
    <n v="1"/>
    <n v="5410"/>
    <n v="11189"/>
    <n v="6"/>
    <n v="17"/>
    <n v="3"/>
    <n v="3"/>
    <n v="80"/>
    <n v="1"/>
    <n v="9"/>
    <n v="2"/>
    <n v="4"/>
    <n v="3"/>
    <n v="1"/>
    <n v="2"/>
  </r>
  <r>
    <s v="No"/>
    <s v="Travel_Rarely"/>
    <x v="2"/>
    <s v="Current Employees"/>
    <x v="1"/>
    <x v="1"/>
    <x v="1317"/>
    <x v="1317"/>
    <x v="1"/>
    <x v="2"/>
    <x v="2"/>
    <s v="Yes"/>
    <s v="Y"/>
    <n v="2"/>
    <n v="-2"/>
    <n v="0"/>
    <n v="25"/>
    <n v="0"/>
    <m/>
    <n v="0"/>
    <n v="1"/>
    <n v="977"/>
    <n v="2"/>
    <x v="1"/>
    <n v="1"/>
    <n v="4"/>
    <n v="57"/>
    <n v="3"/>
    <n v="1"/>
    <n v="3"/>
    <n v="3977"/>
    <n v="7298"/>
    <n v="6"/>
    <n v="19"/>
    <n v="3"/>
    <n v="3"/>
    <n v="80"/>
    <n v="1"/>
    <n v="7"/>
    <n v="2"/>
    <n v="2"/>
    <n v="2"/>
    <n v="0"/>
    <n v="2"/>
  </r>
  <r>
    <s v="No"/>
    <s v="Travel_Rarely"/>
    <x v="0"/>
    <s v="Current Employees"/>
    <x v="1"/>
    <x v="2"/>
    <x v="1318"/>
    <x v="1318"/>
    <x v="1"/>
    <x v="1"/>
    <x v="1"/>
    <s v="Yes"/>
    <s v="Y"/>
    <n v="5"/>
    <n v="-2"/>
    <n v="0"/>
    <n v="41"/>
    <n v="0"/>
    <m/>
    <n v="0"/>
    <n v="1"/>
    <n v="1283"/>
    <n v="5"/>
    <x v="4"/>
    <n v="1"/>
    <n v="2"/>
    <n v="90"/>
    <n v="4"/>
    <n v="1"/>
    <n v="3"/>
    <n v="2127"/>
    <n v="5561"/>
    <n v="2"/>
    <n v="12"/>
    <n v="3"/>
    <n v="1"/>
    <n v="80"/>
    <n v="0"/>
    <n v="7"/>
    <n v="2"/>
    <n v="4"/>
    <n v="2"/>
    <n v="0"/>
    <n v="3"/>
  </r>
  <r>
    <s v="No"/>
    <s v="Travel_Rarely"/>
    <x v="3"/>
    <s v="Current Employees"/>
    <x v="1"/>
    <x v="0"/>
    <x v="1319"/>
    <x v="1319"/>
    <x v="1"/>
    <x v="4"/>
    <x v="1"/>
    <s v="Yes"/>
    <s v="Y"/>
    <n v="2"/>
    <n v="-2"/>
    <n v="0"/>
    <n v="55"/>
    <n v="0"/>
    <m/>
    <n v="0"/>
    <n v="1"/>
    <n v="1229"/>
    <n v="4"/>
    <x v="2"/>
    <n v="1"/>
    <n v="4"/>
    <n v="30"/>
    <n v="3"/>
    <n v="2"/>
    <n v="3"/>
    <n v="4035"/>
    <n v="16143"/>
    <n v="0"/>
    <n v="16"/>
    <n v="3"/>
    <n v="2"/>
    <n v="80"/>
    <n v="0"/>
    <n v="4"/>
    <n v="3"/>
    <n v="3"/>
    <n v="2"/>
    <n v="1"/>
    <n v="2"/>
  </r>
  <r>
    <s v="No"/>
    <s v="Travel_Rarely"/>
    <x v="0"/>
    <s v="Current Employees"/>
    <x v="1"/>
    <x v="2"/>
    <x v="1320"/>
    <x v="1320"/>
    <x v="1"/>
    <x v="4"/>
    <x v="1"/>
    <s v="Yes"/>
    <s v="Y"/>
    <n v="2"/>
    <n v="-2"/>
    <n v="0"/>
    <n v="38"/>
    <n v="0"/>
    <m/>
    <n v="0"/>
    <n v="1"/>
    <n v="833"/>
    <n v="18"/>
    <x v="3"/>
    <n v="1"/>
    <n v="2"/>
    <n v="60"/>
    <n v="1"/>
    <n v="2"/>
    <n v="4"/>
    <n v="5811"/>
    <n v="24539"/>
    <n v="3"/>
    <n v="16"/>
    <n v="3"/>
    <n v="3"/>
    <n v="80"/>
    <n v="1"/>
    <n v="15"/>
    <n v="3"/>
    <n v="1"/>
    <n v="0"/>
    <n v="1"/>
    <n v="0"/>
  </r>
  <r>
    <s v="No"/>
    <s v="Travel_Rarely"/>
    <x v="2"/>
    <s v="Current Employees"/>
    <x v="1"/>
    <x v="0"/>
    <x v="1321"/>
    <x v="1321"/>
    <x v="1"/>
    <x v="2"/>
    <x v="1"/>
    <s v="Yes"/>
    <s v="Y"/>
    <n v="3"/>
    <n v="-2"/>
    <n v="0"/>
    <n v="33"/>
    <n v="0"/>
    <m/>
    <n v="0"/>
    <n v="1"/>
    <n v="589"/>
    <n v="28"/>
    <x v="2"/>
    <n v="1"/>
    <n v="2"/>
    <n v="79"/>
    <n v="3"/>
    <n v="2"/>
    <n v="3"/>
    <n v="5207"/>
    <n v="22949"/>
    <n v="1"/>
    <n v="12"/>
    <n v="3"/>
    <n v="2"/>
    <n v="80"/>
    <n v="1"/>
    <n v="15"/>
    <n v="3"/>
    <n v="15"/>
    <n v="14"/>
    <n v="5"/>
    <n v="7"/>
  </r>
  <r>
    <s v="No"/>
    <s v="Travel_Rarely"/>
    <x v="2"/>
    <s v="Current Employees"/>
    <x v="1"/>
    <x v="1"/>
    <x v="1322"/>
    <x v="1322"/>
    <x v="1"/>
    <x v="2"/>
    <x v="1"/>
    <s v="Yes"/>
    <s v="Y"/>
    <n v="2"/>
    <n v="-2"/>
    <n v="0"/>
    <n v="29"/>
    <n v="0"/>
    <m/>
    <n v="0"/>
    <n v="1"/>
    <n v="1378"/>
    <n v="13"/>
    <x v="0"/>
    <n v="1"/>
    <n v="4"/>
    <n v="46"/>
    <n v="2"/>
    <n v="2"/>
    <n v="2"/>
    <n v="4025"/>
    <n v="23679"/>
    <n v="4"/>
    <n v="13"/>
    <n v="3"/>
    <n v="1"/>
    <n v="80"/>
    <n v="1"/>
    <n v="10"/>
    <n v="3"/>
    <n v="4"/>
    <n v="3"/>
    <n v="0"/>
    <n v="3"/>
  </r>
  <r>
    <s v="No"/>
    <s v="Travel_Rarely"/>
    <x v="0"/>
    <s v="Current Employees"/>
    <x v="1"/>
    <x v="0"/>
    <x v="1323"/>
    <x v="1323"/>
    <x v="1"/>
    <x v="4"/>
    <x v="1"/>
    <s v="Yes"/>
    <s v="Y"/>
    <n v="1"/>
    <n v="-2"/>
    <n v="0"/>
    <n v="36"/>
    <n v="0"/>
    <m/>
    <n v="0"/>
    <n v="1"/>
    <n v="1383"/>
    <n v="10"/>
    <x v="3"/>
    <n v="1"/>
    <n v="4"/>
    <n v="90"/>
    <n v="3"/>
    <n v="3"/>
    <n v="1"/>
    <n v="8321"/>
    <n v="25949"/>
    <n v="7"/>
    <n v="13"/>
    <n v="3"/>
    <n v="4"/>
    <n v="80"/>
    <n v="1"/>
    <n v="15"/>
    <n v="3"/>
    <n v="12"/>
    <n v="8"/>
    <n v="5"/>
    <n v="7"/>
  </r>
  <r>
    <s v="No"/>
    <s v="Travel_Rarely"/>
    <x v="0"/>
    <s v="Current Employees"/>
    <x v="1"/>
    <x v="2"/>
    <x v="1324"/>
    <x v="1324"/>
    <x v="1"/>
    <x v="2"/>
    <x v="1"/>
    <s v="Yes"/>
    <s v="Y"/>
    <n v="3"/>
    <n v="-2"/>
    <n v="0"/>
    <n v="35"/>
    <n v="0"/>
    <m/>
    <n v="0"/>
    <n v="1"/>
    <n v="1490"/>
    <n v="11"/>
    <x v="2"/>
    <n v="1"/>
    <n v="4"/>
    <n v="43"/>
    <n v="3"/>
    <n v="1"/>
    <n v="3"/>
    <n v="2660"/>
    <n v="20232"/>
    <n v="7"/>
    <n v="11"/>
    <n v="3"/>
    <n v="3"/>
    <n v="80"/>
    <n v="1"/>
    <n v="5"/>
    <n v="3"/>
    <n v="2"/>
    <n v="2"/>
    <n v="2"/>
    <n v="2"/>
  </r>
  <r>
    <s v="No"/>
    <s v="Travel_Rarely"/>
    <x v="1"/>
    <s v="Current Employees"/>
    <x v="1"/>
    <x v="4"/>
    <x v="1325"/>
    <x v="1325"/>
    <x v="1"/>
    <x v="3"/>
    <x v="1"/>
    <s v="Yes"/>
    <s v="Y"/>
    <n v="4"/>
    <n v="-2"/>
    <n v="0"/>
    <n v="45"/>
    <n v="0"/>
    <m/>
    <n v="0"/>
    <n v="1"/>
    <n v="1448"/>
    <n v="29"/>
    <x v="3"/>
    <n v="1"/>
    <n v="4"/>
    <n v="55"/>
    <n v="3"/>
    <n v="3"/>
    <n v="4"/>
    <n v="9380"/>
    <n v="14720"/>
    <n v="4"/>
    <n v="18"/>
    <n v="3"/>
    <n v="4"/>
    <n v="80"/>
    <n v="2"/>
    <n v="10"/>
    <n v="4"/>
    <n v="3"/>
    <n v="1"/>
    <n v="1"/>
    <n v="2"/>
  </r>
  <r>
    <s v="No"/>
    <s v="Travel_Rarely"/>
    <x v="2"/>
    <s v="Current Employees"/>
    <x v="1"/>
    <x v="2"/>
    <x v="1326"/>
    <x v="1326"/>
    <x v="1"/>
    <x v="1"/>
    <x v="1"/>
    <s v="Yes"/>
    <s v="Y"/>
    <n v="3"/>
    <n v="-2"/>
    <n v="0"/>
    <n v="34"/>
    <n v="0"/>
    <m/>
    <n v="0"/>
    <n v="1"/>
    <n v="181"/>
    <n v="2"/>
    <x v="2"/>
    <n v="1"/>
    <n v="4"/>
    <n v="97"/>
    <n v="4"/>
    <n v="1"/>
    <n v="4"/>
    <n v="2932"/>
    <n v="5586"/>
    <n v="0"/>
    <n v="14"/>
    <n v="3"/>
    <n v="1"/>
    <n v="80"/>
    <n v="3"/>
    <n v="6"/>
    <n v="3"/>
    <n v="5"/>
    <n v="0"/>
    <n v="1"/>
    <n v="2"/>
  </r>
  <r>
    <s v="No"/>
    <s v="Travel_Rarely"/>
    <x v="2"/>
    <s v="Current Employees"/>
    <x v="1"/>
    <x v="2"/>
    <x v="1327"/>
    <x v="1327"/>
    <x v="1"/>
    <x v="2"/>
    <x v="0"/>
    <s v="Yes"/>
    <s v="Y"/>
    <n v="3"/>
    <n v="-2"/>
    <n v="0"/>
    <n v="29"/>
    <n v="0"/>
    <m/>
    <n v="0"/>
    <n v="1"/>
    <n v="1370"/>
    <n v="3"/>
    <x v="1"/>
    <n v="1"/>
    <n v="2"/>
    <n v="87"/>
    <n v="3"/>
    <n v="1"/>
    <n v="1"/>
    <n v="4723"/>
    <n v="16213"/>
    <n v="1"/>
    <n v="18"/>
    <n v="3"/>
    <n v="4"/>
    <n v="80"/>
    <n v="0"/>
    <n v="10"/>
    <n v="3"/>
    <n v="10"/>
    <n v="9"/>
    <n v="1"/>
    <n v="5"/>
  </r>
  <r>
    <s v="No"/>
    <s v="Travel_Rarely"/>
    <x v="0"/>
    <s v="Current Employees"/>
    <x v="1"/>
    <x v="2"/>
    <x v="1328"/>
    <x v="1328"/>
    <x v="1"/>
    <x v="1"/>
    <x v="0"/>
    <s v="Yes"/>
    <s v="Y"/>
    <n v="2"/>
    <n v="-2"/>
    <n v="0"/>
    <n v="44"/>
    <n v="0"/>
    <m/>
    <n v="0"/>
    <n v="1"/>
    <n v="1037"/>
    <n v="1"/>
    <x v="3"/>
    <n v="1"/>
    <n v="2"/>
    <n v="42"/>
    <n v="3"/>
    <n v="1"/>
    <n v="4"/>
    <n v="2436"/>
    <n v="13422"/>
    <n v="6"/>
    <n v="12"/>
    <n v="3"/>
    <n v="3"/>
    <n v="80"/>
    <n v="0"/>
    <n v="6"/>
    <n v="3"/>
    <n v="4"/>
    <n v="3"/>
    <n v="1"/>
    <n v="2"/>
  </r>
  <r>
    <s v="No"/>
    <s v="Travel_Rarely"/>
    <x v="2"/>
    <s v="Current Employees"/>
    <x v="1"/>
    <x v="0"/>
    <x v="1329"/>
    <x v="1329"/>
    <x v="1"/>
    <x v="4"/>
    <x v="0"/>
    <s v="Yes"/>
    <s v="Y"/>
    <n v="6"/>
    <n v="-2"/>
    <n v="0"/>
    <n v="33"/>
    <n v="0"/>
    <m/>
    <n v="0"/>
    <n v="1"/>
    <n v="516"/>
    <n v="8"/>
    <x v="4"/>
    <n v="1"/>
    <n v="4"/>
    <n v="69"/>
    <n v="3"/>
    <n v="2"/>
    <n v="3"/>
    <n v="6388"/>
    <n v="22049"/>
    <n v="2"/>
    <n v="17"/>
    <n v="3"/>
    <n v="1"/>
    <n v="80"/>
    <n v="0"/>
    <n v="14"/>
    <n v="3"/>
    <n v="0"/>
    <n v="0"/>
    <n v="0"/>
    <n v="0"/>
  </r>
  <r>
    <s v="No"/>
    <s v="Travel_Rarely"/>
    <x v="2"/>
    <s v="Current Employees"/>
    <x v="0"/>
    <x v="2"/>
    <x v="1330"/>
    <x v="1330"/>
    <x v="1"/>
    <x v="0"/>
    <x v="2"/>
    <s v="Yes"/>
    <s v="Y"/>
    <n v="3"/>
    <n v="-2"/>
    <n v="0"/>
    <n v="29"/>
    <n v="0"/>
    <m/>
    <n v="0"/>
    <n v="1"/>
    <n v="991"/>
    <n v="5"/>
    <x v="3"/>
    <n v="1"/>
    <n v="1"/>
    <n v="43"/>
    <n v="2"/>
    <n v="2"/>
    <n v="2"/>
    <n v="4187"/>
    <n v="3356"/>
    <n v="1"/>
    <n v="13"/>
    <n v="3"/>
    <n v="2"/>
    <n v="80"/>
    <n v="1"/>
    <n v="10"/>
    <n v="2"/>
    <n v="10"/>
    <n v="0"/>
    <n v="0"/>
    <n v="9"/>
  </r>
  <r>
    <s v="No"/>
    <s v="Travel_Rarely"/>
    <x v="1"/>
    <s v="Current Employees"/>
    <x v="0"/>
    <x v="0"/>
    <x v="1331"/>
    <x v="1331"/>
    <x v="1"/>
    <x v="0"/>
    <x v="2"/>
    <s v="Yes"/>
    <s v="Y"/>
    <n v="5"/>
    <n v="-2"/>
    <n v="0"/>
    <n v="46"/>
    <n v="0"/>
    <m/>
    <n v="0"/>
    <n v="1"/>
    <n v="1277"/>
    <n v="2"/>
    <x v="3"/>
    <n v="1"/>
    <n v="3"/>
    <n v="74"/>
    <n v="3"/>
    <n v="3"/>
    <n v="4"/>
    <n v="10368"/>
    <n v="5596"/>
    <n v="4"/>
    <n v="12"/>
    <n v="3"/>
    <n v="2"/>
    <n v="80"/>
    <n v="1"/>
    <n v="13"/>
    <n v="2"/>
    <n v="10"/>
    <n v="6"/>
    <n v="0"/>
    <n v="3"/>
  </r>
  <r>
    <s v="No"/>
    <s v="Travel_Rarely"/>
    <x v="0"/>
    <s v="Current Employees"/>
    <x v="0"/>
    <x v="3"/>
    <x v="1332"/>
    <x v="1332"/>
    <x v="1"/>
    <x v="0"/>
    <x v="2"/>
    <s v="Yes"/>
    <s v="Y"/>
    <n v="4"/>
    <n v="-2"/>
    <n v="0"/>
    <n v="42"/>
    <n v="0"/>
    <m/>
    <n v="0"/>
    <n v="1"/>
    <n v="419"/>
    <n v="12"/>
    <x v="2"/>
    <n v="1"/>
    <n v="2"/>
    <n v="77"/>
    <n v="3"/>
    <n v="2"/>
    <n v="1"/>
    <n v="5087"/>
    <n v="2900"/>
    <n v="3"/>
    <n v="12"/>
    <n v="3"/>
    <n v="3"/>
    <n v="80"/>
    <n v="2"/>
    <n v="14"/>
    <n v="3"/>
    <n v="0"/>
    <n v="0"/>
    <n v="0"/>
    <n v="0"/>
  </r>
  <r>
    <s v="No"/>
    <s v="Travel_Rarely"/>
    <x v="2"/>
    <s v="Current Employees"/>
    <x v="0"/>
    <x v="4"/>
    <x v="1333"/>
    <x v="1333"/>
    <x v="1"/>
    <x v="0"/>
    <x v="1"/>
    <s v="Yes"/>
    <s v="Y"/>
    <n v="3"/>
    <n v="-2"/>
    <n v="0"/>
    <n v="34"/>
    <n v="0"/>
    <m/>
    <n v="0"/>
    <n v="1"/>
    <n v="971"/>
    <n v="1"/>
    <x v="3"/>
    <n v="1"/>
    <n v="4"/>
    <n v="64"/>
    <n v="2"/>
    <n v="3"/>
    <n v="4"/>
    <n v="7083"/>
    <n v="12288"/>
    <n v="1"/>
    <n v="14"/>
    <n v="3"/>
    <n v="4"/>
    <n v="80"/>
    <n v="0"/>
    <n v="10"/>
    <n v="3"/>
    <n v="10"/>
    <n v="9"/>
    <n v="8"/>
    <n v="6"/>
  </r>
  <r>
    <s v="No"/>
    <s v="Travel_Rarely"/>
    <x v="1"/>
    <s v="Current Employees"/>
    <x v="0"/>
    <x v="3"/>
    <x v="1334"/>
    <x v="1334"/>
    <x v="1"/>
    <x v="5"/>
    <x v="1"/>
    <s v="Yes"/>
    <s v="Y"/>
    <n v="2"/>
    <n v="-2"/>
    <n v="0"/>
    <n v="50"/>
    <n v="0"/>
    <m/>
    <n v="0"/>
    <n v="1"/>
    <n v="264"/>
    <n v="9"/>
    <x v="3"/>
    <n v="1"/>
    <n v="3"/>
    <n v="59"/>
    <n v="3"/>
    <n v="5"/>
    <n v="1"/>
    <n v="19331"/>
    <n v="19519"/>
    <n v="4"/>
    <n v="16"/>
    <n v="3"/>
    <n v="3"/>
    <n v="80"/>
    <n v="1"/>
    <n v="27"/>
    <n v="3"/>
    <n v="1"/>
    <n v="0"/>
    <n v="0"/>
    <n v="0"/>
  </r>
  <r>
    <s v="No"/>
    <s v="Travel_Rarely"/>
    <x v="0"/>
    <s v="Current Employees"/>
    <x v="0"/>
    <x v="2"/>
    <x v="1335"/>
    <x v="1335"/>
    <x v="1"/>
    <x v="0"/>
    <x v="1"/>
    <s v="Yes"/>
    <s v="Y"/>
    <n v="3"/>
    <n v="-2"/>
    <n v="0"/>
    <n v="43"/>
    <n v="0"/>
    <m/>
    <n v="0"/>
    <n v="1"/>
    <n v="1179"/>
    <n v="2"/>
    <x v="3"/>
    <n v="1"/>
    <n v="4"/>
    <n v="73"/>
    <n v="3"/>
    <n v="2"/>
    <n v="4"/>
    <n v="7847"/>
    <n v="6069"/>
    <n v="1"/>
    <n v="17"/>
    <n v="3"/>
    <n v="1"/>
    <n v="80"/>
    <n v="1"/>
    <n v="10"/>
    <n v="3"/>
    <n v="10"/>
    <n v="9"/>
    <n v="8"/>
    <n v="8"/>
  </r>
  <r>
    <s v="No"/>
    <s v="Travel_Rarely"/>
    <x v="2"/>
    <s v="Current Employees"/>
    <x v="0"/>
    <x v="0"/>
    <x v="1336"/>
    <x v="1336"/>
    <x v="1"/>
    <x v="0"/>
    <x v="1"/>
    <s v="Yes"/>
    <s v="Y"/>
    <n v="3"/>
    <n v="-2"/>
    <n v="0"/>
    <n v="34"/>
    <n v="0"/>
    <m/>
    <n v="0"/>
    <n v="1"/>
    <n v="1480"/>
    <n v="4"/>
    <x v="3"/>
    <n v="1"/>
    <n v="3"/>
    <n v="64"/>
    <n v="3"/>
    <n v="3"/>
    <n v="4"/>
    <n v="9713"/>
    <n v="24444"/>
    <n v="2"/>
    <n v="13"/>
    <n v="3"/>
    <n v="4"/>
    <n v="80"/>
    <n v="3"/>
    <n v="9"/>
    <n v="3"/>
    <n v="5"/>
    <n v="3"/>
    <n v="1"/>
    <n v="0"/>
  </r>
  <r>
    <s v="No"/>
    <s v="Travel_Rarely"/>
    <x v="4"/>
    <s v="Current Employees"/>
    <x v="0"/>
    <x v="2"/>
    <x v="1337"/>
    <x v="1337"/>
    <x v="1"/>
    <x v="6"/>
    <x v="0"/>
    <s v="Yes"/>
    <s v="Y"/>
    <n v="6"/>
    <n v="-2"/>
    <n v="0"/>
    <n v="21"/>
    <n v="0"/>
    <m/>
    <n v="0"/>
    <n v="1"/>
    <n v="501"/>
    <n v="5"/>
    <x v="1"/>
    <n v="1"/>
    <n v="3"/>
    <n v="58"/>
    <n v="3"/>
    <n v="1"/>
    <n v="1"/>
    <n v="2380"/>
    <n v="25479"/>
    <n v="1"/>
    <n v="11"/>
    <n v="3"/>
    <n v="4"/>
    <n v="80"/>
    <n v="0"/>
    <n v="2"/>
    <n v="3"/>
    <n v="2"/>
    <n v="2"/>
    <n v="1"/>
    <n v="2"/>
  </r>
  <r>
    <s v="No"/>
    <s v="Travel_Rarely"/>
    <x v="0"/>
    <s v="Current Employees"/>
    <x v="0"/>
    <x v="0"/>
    <x v="1338"/>
    <x v="1338"/>
    <x v="1"/>
    <x v="0"/>
    <x v="0"/>
    <s v="Yes"/>
    <s v="Y"/>
    <n v="2"/>
    <n v="-2"/>
    <n v="0"/>
    <n v="41"/>
    <n v="0"/>
    <m/>
    <n v="0"/>
    <n v="1"/>
    <n v="1206"/>
    <n v="23"/>
    <x v="0"/>
    <n v="1"/>
    <n v="4"/>
    <n v="80"/>
    <n v="3"/>
    <n v="3"/>
    <n v="3"/>
    <n v="7082"/>
    <n v="11591"/>
    <n v="3"/>
    <n v="16"/>
    <n v="3"/>
    <n v="4"/>
    <n v="80"/>
    <n v="0"/>
    <n v="21"/>
    <n v="3"/>
    <n v="2"/>
    <n v="0"/>
    <n v="0"/>
    <n v="2"/>
  </r>
  <r>
    <s v="No"/>
    <s v="Non-Travel"/>
    <x v="2"/>
    <s v="Current Employees"/>
    <x v="1"/>
    <x v="2"/>
    <x v="1339"/>
    <x v="1339"/>
    <x v="0"/>
    <x v="7"/>
    <x v="1"/>
    <s v="No"/>
    <s v="Y"/>
    <n v="2"/>
    <n v="-2"/>
    <n v="0"/>
    <n v="31"/>
    <n v="0"/>
    <m/>
    <n v="0"/>
    <n v="1"/>
    <n v="697"/>
    <n v="10"/>
    <x v="3"/>
    <n v="1"/>
    <n v="3"/>
    <n v="40"/>
    <n v="3"/>
    <n v="3"/>
    <n v="3"/>
    <n v="11031"/>
    <n v="26862"/>
    <n v="4"/>
    <n v="20"/>
    <n v="4"/>
    <n v="3"/>
    <n v="80"/>
    <n v="1"/>
    <n v="13"/>
    <n v="4"/>
    <n v="11"/>
    <n v="7"/>
    <n v="4"/>
    <n v="8"/>
  </r>
  <r>
    <s v="No"/>
    <s v="Non-Travel"/>
    <x v="1"/>
    <s v="Current Employees"/>
    <x v="0"/>
    <x v="0"/>
    <x v="1340"/>
    <x v="1340"/>
    <x v="0"/>
    <x v="0"/>
    <x v="1"/>
    <s v="No"/>
    <s v="Y"/>
    <n v="3"/>
    <n v="-2"/>
    <n v="0"/>
    <n v="45"/>
    <n v="0"/>
    <m/>
    <n v="0"/>
    <n v="1"/>
    <n v="589"/>
    <n v="2"/>
    <x v="2"/>
    <n v="1"/>
    <n v="3"/>
    <n v="67"/>
    <n v="3"/>
    <n v="2"/>
    <n v="3"/>
    <n v="5154"/>
    <n v="19665"/>
    <n v="4"/>
    <n v="22"/>
    <n v="4"/>
    <n v="2"/>
    <n v="80"/>
    <n v="2"/>
    <n v="10"/>
    <n v="4"/>
    <n v="8"/>
    <n v="7"/>
    <n v="5"/>
    <n v="7"/>
  </r>
  <r>
    <s v="No"/>
    <s v="Travel_Frequently"/>
    <x v="1"/>
    <s v="Current Employees"/>
    <x v="1"/>
    <x v="2"/>
    <x v="1341"/>
    <x v="1341"/>
    <x v="0"/>
    <x v="5"/>
    <x v="2"/>
    <s v="No"/>
    <s v="Y"/>
    <n v="2"/>
    <n v="-2"/>
    <n v="0"/>
    <n v="54"/>
    <n v="0"/>
    <m/>
    <n v="0"/>
    <n v="1"/>
    <n v="1050"/>
    <n v="11"/>
    <x v="2"/>
    <n v="1"/>
    <n v="2"/>
    <n v="87"/>
    <n v="3"/>
    <n v="4"/>
    <n v="4"/>
    <n v="16032"/>
    <n v="24456"/>
    <n v="3"/>
    <n v="20"/>
    <n v="4"/>
    <n v="1"/>
    <n v="80"/>
    <n v="1"/>
    <n v="26"/>
    <n v="3"/>
    <n v="14"/>
    <n v="9"/>
    <n v="1"/>
    <n v="12"/>
  </r>
  <r>
    <s v="No"/>
    <s v="Travel_Frequently"/>
    <x v="0"/>
    <s v="Current Employees"/>
    <x v="1"/>
    <x v="2"/>
    <x v="1342"/>
    <x v="1342"/>
    <x v="0"/>
    <x v="2"/>
    <x v="0"/>
    <s v="No"/>
    <s v="Y"/>
    <n v="3"/>
    <n v="-2"/>
    <n v="0"/>
    <n v="38"/>
    <n v="0"/>
    <m/>
    <n v="0"/>
    <n v="1"/>
    <n v="148"/>
    <n v="2"/>
    <x v="3"/>
    <n v="1"/>
    <n v="4"/>
    <n v="42"/>
    <n v="2"/>
    <n v="1"/>
    <n v="2"/>
    <n v="2440"/>
    <n v="23826"/>
    <n v="1"/>
    <n v="22"/>
    <n v="4"/>
    <n v="2"/>
    <n v="80"/>
    <n v="0"/>
    <n v="4"/>
    <n v="3"/>
    <n v="4"/>
    <n v="3"/>
    <n v="3"/>
    <n v="3"/>
  </r>
  <r>
    <s v="No"/>
    <s v="Travel_Frequently"/>
    <x v="2"/>
    <s v="Current Employees"/>
    <x v="1"/>
    <x v="4"/>
    <x v="1343"/>
    <x v="1343"/>
    <x v="0"/>
    <x v="3"/>
    <x v="0"/>
    <s v="No"/>
    <s v="Y"/>
    <n v="3"/>
    <n v="-2"/>
    <n v="0"/>
    <n v="31"/>
    <n v="0"/>
    <m/>
    <n v="0"/>
    <n v="1"/>
    <n v="163"/>
    <n v="24"/>
    <x v="1"/>
    <n v="1"/>
    <n v="4"/>
    <n v="30"/>
    <n v="3"/>
    <n v="2"/>
    <n v="4"/>
    <n v="5238"/>
    <n v="6670"/>
    <n v="2"/>
    <n v="20"/>
    <n v="4"/>
    <n v="4"/>
    <n v="80"/>
    <n v="0"/>
    <n v="9"/>
    <n v="2"/>
    <n v="5"/>
    <n v="4"/>
    <n v="1"/>
    <n v="4"/>
  </r>
  <r>
    <s v="No"/>
    <s v="Travel_Rarely"/>
    <x v="1"/>
    <s v="Current Employees"/>
    <x v="2"/>
    <x v="0"/>
    <x v="1344"/>
    <x v="1344"/>
    <x v="0"/>
    <x v="8"/>
    <x v="1"/>
    <s v="No"/>
    <s v="Y"/>
    <n v="2"/>
    <n v="-2"/>
    <n v="0"/>
    <n v="45"/>
    <n v="0"/>
    <m/>
    <n v="0"/>
    <n v="1"/>
    <n v="176"/>
    <n v="4"/>
    <x v="3"/>
    <n v="1"/>
    <n v="3"/>
    <n v="56"/>
    <n v="1"/>
    <n v="3"/>
    <n v="3"/>
    <n v="9756"/>
    <n v="6595"/>
    <n v="4"/>
    <n v="21"/>
    <n v="4"/>
    <n v="3"/>
    <n v="80"/>
    <n v="2"/>
    <n v="9"/>
    <n v="4"/>
    <n v="5"/>
    <n v="0"/>
    <n v="0"/>
    <n v="3"/>
  </r>
  <r>
    <s v="No"/>
    <s v="Travel_Rarely"/>
    <x v="2"/>
    <s v="Current Employees"/>
    <x v="1"/>
    <x v="2"/>
    <x v="1345"/>
    <x v="1345"/>
    <x v="0"/>
    <x v="3"/>
    <x v="2"/>
    <s v="No"/>
    <s v="Y"/>
    <n v="5"/>
    <n v="-2"/>
    <n v="0"/>
    <n v="28"/>
    <n v="0"/>
    <m/>
    <n v="0"/>
    <n v="1"/>
    <n v="580"/>
    <n v="27"/>
    <x v="3"/>
    <n v="1"/>
    <n v="2"/>
    <n v="39"/>
    <n v="1"/>
    <n v="2"/>
    <n v="1"/>
    <n v="4877"/>
    <n v="20460"/>
    <n v="0"/>
    <n v="21"/>
    <n v="4"/>
    <n v="2"/>
    <n v="80"/>
    <n v="1"/>
    <n v="6"/>
    <n v="2"/>
    <n v="5"/>
    <n v="3"/>
    <n v="0"/>
    <n v="0"/>
  </r>
  <r>
    <s v="No"/>
    <s v="Travel_Rarely"/>
    <x v="2"/>
    <s v="Current Employees"/>
    <x v="1"/>
    <x v="0"/>
    <x v="1346"/>
    <x v="1346"/>
    <x v="0"/>
    <x v="1"/>
    <x v="1"/>
    <s v="No"/>
    <s v="Y"/>
    <n v="5"/>
    <n v="-2"/>
    <n v="0"/>
    <n v="26"/>
    <n v="0"/>
    <m/>
    <n v="0"/>
    <n v="1"/>
    <n v="474"/>
    <n v="3"/>
    <x v="3"/>
    <n v="1"/>
    <n v="1"/>
    <n v="89"/>
    <n v="3"/>
    <n v="1"/>
    <n v="4"/>
    <n v="2061"/>
    <n v="11133"/>
    <n v="1"/>
    <n v="21"/>
    <n v="4"/>
    <n v="1"/>
    <n v="80"/>
    <n v="0"/>
    <n v="1"/>
    <n v="3"/>
    <n v="1"/>
    <n v="0"/>
    <n v="0"/>
    <n v="0"/>
  </r>
  <r>
    <s v="No"/>
    <s v="Travel_Rarely"/>
    <x v="0"/>
    <s v="Current Employees"/>
    <x v="1"/>
    <x v="0"/>
    <x v="1347"/>
    <x v="1347"/>
    <x v="0"/>
    <x v="3"/>
    <x v="1"/>
    <s v="No"/>
    <s v="Y"/>
    <n v="3"/>
    <n v="-2"/>
    <n v="0"/>
    <n v="41"/>
    <n v="0"/>
    <m/>
    <n v="0"/>
    <n v="1"/>
    <n v="582"/>
    <n v="28"/>
    <x v="2"/>
    <n v="1"/>
    <n v="1"/>
    <n v="60"/>
    <n v="2"/>
    <n v="4"/>
    <n v="2"/>
    <n v="13570"/>
    <n v="5640"/>
    <n v="0"/>
    <n v="23"/>
    <n v="4"/>
    <n v="3"/>
    <n v="80"/>
    <n v="1"/>
    <n v="21"/>
    <n v="3"/>
    <n v="20"/>
    <n v="7"/>
    <n v="0"/>
    <n v="10"/>
  </r>
  <r>
    <s v="No"/>
    <s v="Travel_Rarely"/>
    <x v="3"/>
    <s v="Current Employees"/>
    <x v="1"/>
    <x v="0"/>
    <x v="1348"/>
    <x v="1348"/>
    <x v="0"/>
    <x v="1"/>
    <x v="1"/>
    <s v="No"/>
    <s v="Y"/>
    <n v="3"/>
    <n v="-2"/>
    <n v="0"/>
    <n v="56"/>
    <n v="0"/>
    <m/>
    <n v="0"/>
    <n v="1"/>
    <n v="1255"/>
    <n v="1"/>
    <x v="0"/>
    <n v="1"/>
    <n v="1"/>
    <n v="90"/>
    <n v="3"/>
    <n v="1"/>
    <n v="1"/>
    <n v="2066"/>
    <n v="10494"/>
    <n v="2"/>
    <n v="22"/>
    <n v="4"/>
    <n v="4"/>
    <n v="80"/>
    <n v="1"/>
    <n v="5"/>
    <n v="4"/>
    <n v="3"/>
    <n v="2"/>
    <n v="1"/>
    <n v="0"/>
  </r>
  <r>
    <s v="No"/>
    <s v="Travel_Rarely"/>
    <x v="1"/>
    <s v="Current Employees"/>
    <x v="1"/>
    <x v="2"/>
    <x v="1349"/>
    <x v="1349"/>
    <x v="0"/>
    <x v="5"/>
    <x v="1"/>
    <s v="No"/>
    <s v="Y"/>
    <n v="6"/>
    <n v="-2"/>
    <n v="0"/>
    <n v="54"/>
    <n v="0"/>
    <m/>
    <n v="0"/>
    <n v="1"/>
    <n v="584"/>
    <n v="22"/>
    <x v="4"/>
    <n v="1"/>
    <n v="2"/>
    <n v="91"/>
    <n v="3"/>
    <n v="4"/>
    <n v="3"/>
    <n v="17426"/>
    <n v="18685"/>
    <n v="3"/>
    <n v="25"/>
    <n v="4"/>
    <n v="3"/>
    <n v="80"/>
    <n v="1"/>
    <n v="36"/>
    <n v="3"/>
    <n v="10"/>
    <n v="8"/>
    <n v="4"/>
    <n v="7"/>
  </r>
  <r>
    <s v="No"/>
    <s v="Travel_Rarely"/>
    <x v="1"/>
    <s v="Current Employees"/>
    <x v="1"/>
    <x v="2"/>
    <x v="1350"/>
    <x v="1350"/>
    <x v="0"/>
    <x v="2"/>
    <x v="1"/>
    <s v="No"/>
    <s v="Y"/>
    <n v="3"/>
    <n v="-2"/>
    <n v="0"/>
    <n v="49"/>
    <n v="0"/>
    <m/>
    <n v="0"/>
    <n v="1"/>
    <n v="271"/>
    <n v="3"/>
    <x v="0"/>
    <n v="1"/>
    <n v="3"/>
    <n v="43"/>
    <n v="2"/>
    <n v="2"/>
    <n v="1"/>
    <n v="4789"/>
    <n v="23070"/>
    <n v="4"/>
    <n v="25"/>
    <n v="4"/>
    <n v="1"/>
    <n v="80"/>
    <n v="1"/>
    <n v="10"/>
    <n v="3"/>
    <n v="3"/>
    <n v="2"/>
    <n v="1"/>
    <n v="2"/>
  </r>
  <r>
    <s v="No"/>
    <s v="Travel_Rarely"/>
    <x v="2"/>
    <s v="Current Employees"/>
    <x v="1"/>
    <x v="2"/>
    <x v="1351"/>
    <x v="1351"/>
    <x v="0"/>
    <x v="1"/>
    <x v="1"/>
    <s v="No"/>
    <s v="Y"/>
    <n v="3"/>
    <n v="-2"/>
    <n v="0"/>
    <n v="28"/>
    <n v="0"/>
    <m/>
    <n v="0"/>
    <n v="1"/>
    <n v="1217"/>
    <n v="1"/>
    <x v="3"/>
    <n v="1"/>
    <n v="3"/>
    <n v="67"/>
    <n v="3"/>
    <n v="1"/>
    <n v="1"/>
    <n v="3591"/>
    <n v="12719"/>
    <n v="1"/>
    <n v="25"/>
    <n v="4"/>
    <n v="3"/>
    <n v="80"/>
    <n v="1"/>
    <n v="3"/>
    <n v="3"/>
    <n v="3"/>
    <n v="2"/>
    <n v="1"/>
    <n v="2"/>
  </r>
  <r>
    <s v="No"/>
    <s v="Travel_Rarely"/>
    <x v="2"/>
    <s v="Current Employees"/>
    <x v="0"/>
    <x v="2"/>
    <x v="1352"/>
    <x v="1352"/>
    <x v="0"/>
    <x v="6"/>
    <x v="1"/>
    <s v="No"/>
    <s v="Y"/>
    <n v="5"/>
    <n v="-2"/>
    <n v="0"/>
    <n v="27"/>
    <n v="0"/>
    <m/>
    <n v="0"/>
    <n v="1"/>
    <n v="728"/>
    <n v="23"/>
    <x v="1"/>
    <n v="1"/>
    <n v="2"/>
    <n v="36"/>
    <n v="2"/>
    <n v="2"/>
    <n v="3"/>
    <n v="3540"/>
    <n v="7018"/>
    <n v="1"/>
    <n v="21"/>
    <n v="4"/>
    <n v="4"/>
    <n v="80"/>
    <n v="1"/>
    <n v="9"/>
    <n v="3"/>
    <n v="9"/>
    <n v="8"/>
    <n v="5"/>
    <n v="8"/>
  </r>
  <r>
    <s v="No"/>
    <s v="Travel_Rarely"/>
    <x v="0"/>
    <s v="Current Employees"/>
    <x v="0"/>
    <x v="3"/>
    <x v="1353"/>
    <x v="1353"/>
    <x v="0"/>
    <x v="0"/>
    <x v="1"/>
    <s v="No"/>
    <s v="Y"/>
    <n v="3"/>
    <n v="-2"/>
    <n v="0"/>
    <n v="41"/>
    <n v="0"/>
    <m/>
    <n v="0"/>
    <n v="1"/>
    <n v="337"/>
    <n v="8"/>
    <x v="3"/>
    <n v="1"/>
    <n v="3"/>
    <n v="54"/>
    <n v="3"/>
    <n v="2"/>
    <n v="1"/>
    <n v="4393"/>
    <n v="26841"/>
    <n v="5"/>
    <n v="21"/>
    <n v="4"/>
    <n v="3"/>
    <n v="80"/>
    <n v="1"/>
    <n v="14"/>
    <n v="3"/>
    <n v="5"/>
    <n v="4"/>
    <n v="1"/>
    <n v="4"/>
  </r>
  <r>
    <s v="No"/>
    <s v="Travel_Rarely"/>
    <x v="0"/>
    <s v="Current Employees"/>
    <x v="0"/>
    <x v="0"/>
    <x v="1354"/>
    <x v="1354"/>
    <x v="0"/>
    <x v="6"/>
    <x v="1"/>
    <s v="No"/>
    <s v="Y"/>
    <n v="5"/>
    <n v="-2"/>
    <n v="0"/>
    <n v="35"/>
    <n v="0"/>
    <m/>
    <n v="0"/>
    <n v="1"/>
    <n v="1402"/>
    <n v="28"/>
    <x v="2"/>
    <n v="1"/>
    <n v="2"/>
    <n v="98"/>
    <n v="2"/>
    <n v="1"/>
    <n v="3"/>
    <n v="2430"/>
    <n v="26204"/>
    <n v="0"/>
    <n v="23"/>
    <n v="4"/>
    <n v="1"/>
    <n v="80"/>
    <n v="2"/>
    <n v="6"/>
    <n v="3"/>
    <n v="5"/>
    <n v="3"/>
    <n v="4"/>
    <n v="2"/>
  </r>
  <r>
    <s v="No"/>
    <s v="Travel_Rarely"/>
    <x v="2"/>
    <s v="Current Employees"/>
    <x v="0"/>
    <x v="3"/>
    <x v="1355"/>
    <x v="1355"/>
    <x v="0"/>
    <x v="0"/>
    <x v="1"/>
    <s v="No"/>
    <s v="Y"/>
    <n v="2"/>
    <n v="-2"/>
    <n v="0"/>
    <n v="34"/>
    <n v="0"/>
    <m/>
    <n v="0"/>
    <n v="1"/>
    <n v="704"/>
    <n v="28"/>
    <x v="3"/>
    <n v="1"/>
    <n v="4"/>
    <n v="95"/>
    <n v="2"/>
    <n v="2"/>
    <n v="1"/>
    <n v="6712"/>
    <n v="8978"/>
    <n v="1"/>
    <n v="21"/>
    <n v="4"/>
    <n v="4"/>
    <n v="80"/>
    <n v="2"/>
    <n v="8"/>
    <n v="3"/>
    <n v="8"/>
    <n v="7"/>
    <n v="1"/>
    <n v="7"/>
  </r>
  <r>
    <s v="No"/>
    <s v="Non-Travel"/>
    <x v="3"/>
    <s v="Current Employees"/>
    <x v="1"/>
    <x v="0"/>
    <x v="1356"/>
    <x v="1356"/>
    <x v="1"/>
    <x v="4"/>
    <x v="2"/>
    <s v="No"/>
    <s v="Y"/>
    <n v="2"/>
    <n v="-2"/>
    <n v="0"/>
    <n v="56"/>
    <n v="0"/>
    <m/>
    <n v="0"/>
    <n v="1"/>
    <n v="667"/>
    <n v="1"/>
    <x v="2"/>
    <n v="1"/>
    <n v="3"/>
    <n v="57"/>
    <n v="3"/>
    <n v="2"/>
    <n v="3"/>
    <n v="6306"/>
    <n v="26236"/>
    <n v="1"/>
    <n v="21"/>
    <n v="4"/>
    <n v="1"/>
    <n v="80"/>
    <n v="1"/>
    <n v="13"/>
    <n v="2"/>
    <n v="13"/>
    <n v="12"/>
    <n v="1"/>
    <n v="9"/>
  </r>
  <r>
    <s v="No"/>
    <s v="Non-Travel"/>
    <x v="0"/>
    <s v="Current Employees"/>
    <x v="1"/>
    <x v="0"/>
    <x v="1357"/>
    <x v="1357"/>
    <x v="1"/>
    <x v="2"/>
    <x v="1"/>
    <s v="No"/>
    <s v="Y"/>
    <n v="3"/>
    <n v="-2"/>
    <n v="0"/>
    <n v="36"/>
    <n v="0"/>
    <m/>
    <n v="0"/>
    <n v="1"/>
    <n v="1351"/>
    <n v="9"/>
    <x v="2"/>
    <n v="1"/>
    <n v="1"/>
    <n v="66"/>
    <n v="4"/>
    <n v="1"/>
    <n v="2"/>
    <n v="2810"/>
    <n v="9238"/>
    <n v="1"/>
    <n v="22"/>
    <n v="4"/>
    <n v="2"/>
    <n v="80"/>
    <n v="0"/>
    <n v="5"/>
    <n v="3"/>
    <n v="5"/>
    <n v="4"/>
    <n v="0"/>
    <n v="2"/>
  </r>
  <r>
    <s v="No"/>
    <s v="Non-Travel"/>
    <x v="1"/>
    <s v="Current Employees"/>
    <x v="1"/>
    <x v="0"/>
    <x v="1358"/>
    <x v="1358"/>
    <x v="1"/>
    <x v="4"/>
    <x v="1"/>
    <s v="No"/>
    <s v="Y"/>
    <n v="3"/>
    <n v="-2"/>
    <n v="0"/>
    <n v="45"/>
    <n v="0"/>
    <m/>
    <n v="0"/>
    <n v="1"/>
    <n v="1238"/>
    <n v="1"/>
    <x v="1"/>
    <n v="1"/>
    <n v="3"/>
    <n v="74"/>
    <n v="2"/>
    <n v="3"/>
    <n v="3"/>
    <n v="10748"/>
    <n v="3395"/>
    <n v="3"/>
    <n v="23"/>
    <n v="4"/>
    <n v="4"/>
    <n v="80"/>
    <n v="1"/>
    <n v="25"/>
    <n v="2"/>
    <n v="23"/>
    <n v="15"/>
    <n v="14"/>
    <n v="4"/>
  </r>
  <r>
    <s v="No"/>
    <s v="Non-Travel"/>
    <x v="0"/>
    <s v="Current Employees"/>
    <x v="1"/>
    <x v="4"/>
    <x v="1359"/>
    <x v="1359"/>
    <x v="1"/>
    <x v="1"/>
    <x v="1"/>
    <s v="No"/>
    <s v="Y"/>
    <n v="1"/>
    <n v="-2"/>
    <n v="0"/>
    <n v="42"/>
    <n v="0"/>
    <m/>
    <n v="0"/>
    <n v="1"/>
    <n v="355"/>
    <n v="10"/>
    <x v="2"/>
    <n v="1"/>
    <n v="4"/>
    <n v="38"/>
    <n v="3"/>
    <n v="1"/>
    <n v="4"/>
    <n v="2936"/>
    <n v="6161"/>
    <n v="3"/>
    <n v="22"/>
    <n v="4"/>
    <n v="2"/>
    <n v="80"/>
    <n v="2"/>
    <n v="10"/>
    <n v="2"/>
    <n v="6"/>
    <n v="3"/>
    <n v="3"/>
    <n v="3"/>
  </r>
  <r>
    <s v="No"/>
    <s v="Non-Travel"/>
    <x v="2"/>
    <s v="Current Employees"/>
    <x v="1"/>
    <x v="2"/>
    <x v="1360"/>
    <x v="1360"/>
    <x v="1"/>
    <x v="2"/>
    <x v="0"/>
    <s v="No"/>
    <s v="Y"/>
    <n v="5"/>
    <n v="-2"/>
    <n v="0"/>
    <n v="26"/>
    <n v="0"/>
    <m/>
    <n v="0"/>
    <n v="1"/>
    <n v="786"/>
    <n v="7"/>
    <x v="3"/>
    <n v="1"/>
    <n v="4"/>
    <n v="76"/>
    <n v="3"/>
    <n v="1"/>
    <n v="4"/>
    <n v="2570"/>
    <n v="11925"/>
    <n v="1"/>
    <n v="20"/>
    <n v="4"/>
    <n v="3"/>
    <n v="80"/>
    <n v="0"/>
    <n v="7"/>
    <n v="3"/>
    <n v="7"/>
    <n v="7"/>
    <n v="5"/>
    <n v="7"/>
  </r>
  <r>
    <s v="No"/>
    <s v="Non-Travel"/>
    <x v="3"/>
    <s v="Current Employees"/>
    <x v="0"/>
    <x v="2"/>
    <x v="1361"/>
    <x v="1361"/>
    <x v="1"/>
    <x v="5"/>
    <x v="2"/>
    <s v="No"/>
    <s v="Y"/>
    <n v="0"/>
    <n v="-2"/>
    <n v="0"/>
    <n v="58"/>
    <n v="0"/>
    <m/>
    <n v="0"/>
    <n v="1"/>
    <n v="350"/>
    <n v="2"/>
    <x v="3"/>
    <n v="1"/>
    <n v="2"/>
    <n v="52"/>
    <n v="3"/>
    <n v="4"/>
    <n v="2"/>
    <n v="16291"/>
    <n v="22577"/>
    <n v="4"/>
    <n v="22"/>
    <n v="4"/>
    <n v="4"/>
    <n v="80"/>
    <n v="1"/>
    <n v="37"/>
    <n v="2"/>
    <n v="16"/>
    <n v="9"/>
    <n v="14"/>
    <n v="14"/>
  </r>
  <r>
    <s v="No"/>
    <s v="Non-Travel"/>
    <x v="0"/>
    <s v="Current Employees"/>
    <x v="0"/>
    <x v="3"/>
    <x v="1362"/>
    <x v="1362"/>
    <x v="1"/>
    <x v="0"/>
    <x v="2"/>
    <s v="No"/>
    <s v="Y"/>
    <n v="4"/>
    <n v="-2"/>
    <n v="0"/>
    <n v="36"/>
    <n v="0"/>
    <m/>
    <n v="0"/>
    <n v="1"/>
    <n v="301"/>
    <n v="15"/>
    <x v="2"/>
    <n v="1"/>
    <n v="4"/>
    <n v="88"/>
    <n v="1"/>
    <n v="2"/>
    <n v="1"/>
    <n v="5406"/>
    <n v="10436"/>
    <n v="1"/>
    <n v="24"/>
    <n v="4"/>
    <n v="1"/>
    <n v="80"/>
    <n v="1"/>
    <n v="15"/>
    <n v="2"/>
    <n v="15"/>
    <n v="12"/>
    <n v="11"/>
    <n v="11"/>
  </r>
  <r>
    <s v="No"/>
    <s v="Travel_Frequently"/>
    <x v="0"/>
    <s v="Current Employees"/>
    <x v="2"/>
    <x v="5"/>
    <x v="1363"/>
    <x v="1363"/>
    <x v="1"/>
    <x v="8"/>
    <x v="0"/>
    <s v="No"/>
    <s v="Y"/>
    <n v="2"/>
    <n v="-2"/>
    <n v="0"/>
    <n v="36"/>
    <n v="0"/>
    <m/>
    <n v="0"/>
    <n v="1"/>
    <n v="1213"/>
    <n v="2"/>
    <x v="1"/>
    <n v="1"/>
    <n v="2"/>
    <n v="94"/>
    <n v="2"/>
    <n v="2"/>
    <n v="4"/>
    <n v="3886"/>
    <n v="4223"/>
    <n v="1"/>
    <n v="21"/>
    <n v="4"/>
    <n v="4"/>
    <n v="80"/>
    <n v="0"/>
    <n v="10"/>
    <n v="2"/>
    <n v="10"/>
    <n v="1"/>
    <n v="0"/>
    <n v="8"/>
  </r>
  <r>
    <s v="No"/>
    <s v="Travel_Frequently"/>
    <x v="2"/>
    <s v="Current Employees"/>
    <x v="1"/>
    <x v="0"/>
    <x v="1364"/>
    <x v="1364"/>
    <x v="1"/>
    <x v="4"/>
    <x v="2"/>
    <s v="No"/>
    <s v="Y"/>
    <n v="2"/>
    <n v="-2"/>
    <n v="0"/>
    <n v="33"/>
    <n v="0"/>
    <m/>
    <n v="0"/>
    <n v="1"/>
    <n v="1303"/>
    <n v="7"/>
    <x v="0"/>
    <n v="1"/>
    <n v="4"/>
    <n v="36"/>
    <n v="3"/>
    <n v="2"/>
    <n v="3"/>
    <n v="5968"/>
    <n v="18079"/>
    <n v="1"/>
    <n v="20"/>
    <n v="4"/>
    <n v="3"/>
    <n v="80"/>
    <n v="3"/>
    <n v="9"/>
    <n v="3"/>
    <n v="9"/>
    <n v="7"/>
    <n v="2"/>
    <n v="8"/>
  </r>
  <r>
    <s v="No"/>
    <s v="Travel_Frequently"/>
    <x v="2"/>
    <s v="Current Employees"/>
    <x v="1"/>
    <x v="0"/>
    <x v="1365"/>
    <x v="1365"/>
    <x v="1"/>
    <x v="1"/>
    <x v="1"/>
    <s v="No"/>
    <s v="Y"/>
    <n v="6"/>
    <n v="-2"/>
    <n v="0"/>
    <n v="31"/>
    <n v="0"/>
    <m/>
    <n v="0"/>
    <n v="1"/>
    <n v="1125"/>
    <n v="1"/>
    <x v="3"/>
    <n v="1"/>
    <n v="4"/>
    <n v="48"/>
    <n v="1"/>
    <n v="2"/>
    <n v="1"/>
    <n v="5003"/>
    <n v="5771"/>
    <n v="1"/>
    <n v="21"/>
    <n v="4"/>
    <n v="2"/>
    <n v="80"/>
    <n v="0"/>
    <n v="10"/>
    <n v="3"/>
    <n v="10"/>
    <n v="8"/>
    <n v="8"/>
    <n v="7"/>
  </r>
  <r>
    <s v="No"/>
    <s v="Travel_Frequently"/>
    <x v="1"/>
    <s v="Current Employees"/>
    <x v="1"/>
    <x v="2"/>
    <x v="1366"/>
    <x v="1366"/>
    <x v="1"/>
    <x v="5"/>
    <x v="1"/>
    <s v="No"/>
    <s v="Y"/>
    <n v="3"/>
    <n v="-2"/>
    <n v="0"/>
    <n v="48"/>
    <n v="0"/>
    <m/>
    <n v="0"/>
    <n v="1"/>
    <n v="365"/>
    <n v="4"/>
    <x v="4"/>
    <n v="1"/>
    <n v="3"/>
    <n v="89"/>
    <n v="2"/>
    <n v="4"/>
    <n v="4"/>
    <n v="15202"/>
    <n v="5602"/>
    <n v="2"/>
    <n v="25"/>
    <n v="4"/>
    <n v="2"/>
    <n v="80"/>
    <n v="1"/>
    <n v="23"/>
    <n v="3"/>
    <n v="2"/>
    <n v="2"/>
    <n v="2"/>
    <n v="2"/>
  </r>
  <r>
    <s v="No"/>
    <s v="Travel_Frequently"/>
    <x v="0"/>
    <s v="Current Employees"/>
    <x v="0"/>
    <x v="0"/>
    <x v="1367"/>
    <x v="1367"/>
    <x v="1"/>
    <x v="0"/>
    <x v="1"/>
    <s v="No"/>
    <s v="Y"/>
    <n v="5"/>
    <n v="-2"/>
    <n v="0"/>
    <n v="43"/>
    <n v="0"/>
    <m/>
    <n v="0"/>
    <n v="1"/>
    <n v="1422"/>
    <n v="2"/>
    <x v="2"/>
    <n v="1"/>
    <n v="1"/>
    <n v="92"/>
    <n v="3"/>
    <n v="2"/>
    <n v="4"/>
    <n v="5675"/>
    <n v="19246"/>
    <n v="1"/>
    <n v="20"/>
    <n v="4"/>
    <n v="3"/>
    <n v="80"/>
    <n v="1"/>
    <n v="7"/>
    <n v="3"/>
    <n v="7"/>
    <n v="7"/>
    <n v="7"/>
    <n v="7"/>
  </r>
  <r>
    <s v="No"/>
    <s v="Travel_Rarely"/>
    <x v="2"/>
    <s v="Current Employees"/>
    <x v="2"/>
    <x v="0"/>
    <x v="1368"/>
    <x v="1368"/>
    <x v="1"/>
    <x v="8"/>
    <x v="2"/>
    <s v="No"/>
    <s v="Y"/>
    <n v="3"/>
    <n v="-2"/>
    <n v="0"/>
    <n v="30"/>
    <n v="0"/>
    <m/>
    <n v="0"/>
    <n v="1"/>
    <n v="330"/>
    <n v="1"/>
    <x v="3"/>
    <n v="1"/>
    <n v="3"/>
    <n v="46"/>
    <n v="3"/>
    <n v="1"/>
    <n v="3"/>
    <n v="2064"/>
    <n v="15428"/>
    <n v="0"/>
    <n v="21"/>
    <n v="4"/>
    <n v="1"/>
    <n v="80"/>
    <n v="1"/>
    <n v="6"/>
    <n v="4"/>
    <n v="5"/>
    <n v="3"/>
    <n v="1"/>
    <n v="3"/>
  </r>
  <r>
    <s v="No"/>
    <s v="Travel_Rarely"/>
    <x v="3"/>
    <s v="Current Employees"/>
    <x v="1"/>
    <x v="2"/>
    <x v="1369"/>
    <x v="1369"/>
    <x v="1"/>
    <x v="4"/>
    <x v="2"/>
    <s v="No"/>
    <s v="Y"/>
    <n v="2"/>
    <n v="-2"/>
    <n v="0"/>
    <n v="60"/>
    <n v="0"/>
    <m/>
    <n v="0"/>
    <n v="1"/>
    <n v="370"/>
    <n v="1"/>
    <x v="2"/>
    <n v="1"/>
    <n v="3"/>
    <n v="92"/>
    <n v="1"/>
    <n v="3"/>
    <n v="4"/>
    <n v="10883"/>
    <n v="20467"/>
    <n v="3"/>
    <n v="20"/>
    <n v="4"/>
    <n v="3"/>
    <n v="80"/>
    <n v="1"/>
    <n v="19"/>
    <n v="4"/>
    <n v="1"/>
    <n v="0"/>
    <n v="0"/>
    <n v="0"/>
  </r>
  <r>
    <s v="No"/>
    <s v="Travel_Rarely"/>
    <x v="0"/>
    <s v="Current Employees"/>
    <x v="1"/>
    <x v="0"/>
    <x v="1370"/>
    <x v="1370"/>
    <x v="1"/>
    <x v="4"/>
    <x v="2"/>
    <s v="No"/>
    <s v="Y"/>
    <n v="3"/>
    <n v="-2"/>
    <n v="0"/>
    <n v="36"/>
    <n v="0"/>
    <m/>
    <n v="0"/>
    <n v="1"/>
    <n v="1040"/>
    <n v="3"/>
    <x v="0"/>
    <n v="1"/>
    <n v="4"/>
    <n v="79"/>
    <n v="4"/>
    <n v="2"/>
    <n v="1"/>
    <n v="6842"/>
    <n v="26308"/>
    <n v="6"/>
    <n v="20"/>
    <n v="4"/>
    <n v="1"/>
    <n v="80"/>
    <n v="1"/>
    <n v="13"/>
    <n v="3"/>
    <n v="5"/>
    <n v="4"/>
    <n v="0"/>
    <n v="4"/>
  </r>
  <r>
    <s v="No"/>
    <s v="Travel_Rarely"/>
    <x v="0"/>
    <s v="Current Employees"/>
    <x v="1"/>
    <x v="0"/>
    <x v="1371"/>
    <x v="1371"/>
    <x v="1"/>
    <x v="2"/>
    <x v="2"/>
    <s v="No"/>
    <s v="Y"/>
    <n v="2"/>
    <n v="-2"/>
    <n v="0"/>
    <n v="41"/>
    <n v="0"/>
    <m/>
    <n v="0"/>
    <n v="1"/>
    <n v="548"/>
    <n v="9"/>
    <x v="2"/>
    <n v="1"/>
    <n v="3"/>
    <n v="94"/>
    <n v="3"/>
    <n v="1"/>
    <n v="1"/>
    <n v="2289"/>
    <n v="20520"/>
    <n v="1"/>
    <n v="20"/>
    <n v="4"/>
    <n v="2"/>
    <n v="80"/>
    <n v="2"/>
    <n v="5"/>
    <n v="3"/>
    <n v="5"/>
    <n v="3"/>
    <n v="0"/>
    <n v="4"/>
  </r>
  <r>
    <s v="No"/>
    <s v="Travel_Rarely"/>
    <x v="0"/>
    <s v="Current Employees"/>
    <x v="1"/>
    <x v="2"/>
    <x v="1372"/>
    <x v="1372"/>
    <x v="1"/>
    <x v="2"/>
    <x v="2"/>
    <s v="No"/>
    <s v="Y"/>
    <n v="6"/>
    <n v="-2"/>
    <n v="0"/>
    <n v="42"/>
    <n v="0"/>
    <m/>
    <n v="0"/>
    <n v="1"/>
    <n v="855"/>
    <n v="12"/>
    <x v="3"/>
    <n v="1"/>
    <n v="2"/>
    <n v="57"/>
    <n v="3"/>
    <n v="1"/>
    <n v="2"/>
    <n v="2766"/>
    <n v="8952"/>
    <n v="8"/>
    <n v="22"/>
    <n v="4"/>
    <n v="2"/>
    <n v="80"/>
    <n v="3"/>
    <n v="7"/>
    <n v="2"/>
    <n v="5"/>
    <n v="3"/>
    <n v="0"/>
    <n v="4"/>
  </r>
  <r>
    <s v="No"/>
    <s v="Travel_Rarely"/>
    <x v="0"/>
    <s v="Current Employees"/>
    <x v="1"/>
    <x v="2"/>
    <x v="1373"/>
    <x v="1373"/>
    <x v="1"/>
    <x v="3"/>
    <x v="1"/>
    <s v="No"/>
    <s v="Y"/>
    <n v="3"/>
    <n v="-2"/>
    <n v="0"/>
    <n v="39"/>
    <n v="0"/>
    <m/>
    <n v="0"/>
    <n v="1"/>
    <n v="492"/>
    <n v="12"/>
    <x v="3"/>
    <n v="1"/>
    <n v="4"/>
    <n v="66"/>
    <n v="3"/>
    <n v="2"/>
    <n v="2"/>
    <n v="5295"/>
    <n v="7693"/>
    <n v="4"/>
    <n v="21"/>
    <n v="4"/>
    <n v="3"/>
    <n v="80"/>
    <n v="0"/>
    <n v="7"/>
    <n v="3"/>
    <n v="5"/>
    <n v="4"/>
    <n v="1"/>
    <n v="0"/>
  </r>
  <r>
    <s v="No"/>
    <s v="Travel_Rarely"/>
    <x v="0"/>
    <s v="Current Employees"/>
    <x v="1"/>
    <x v="2"/>
    <x v="1374"/>
    <x v="1374"/>
    <x v="1"/>
    <x v="3"/>
    <x v="1"/>
    <s v="No"/>
    <s v="Y"/>
    <n v="3"/>
    <n v="-2"/>
    <n v="0"/>
    <n v="39"/>
    <n v="0"/>
    <m/>
    <n v="0"/>
    <n v="1"/>
    <n v="867"/>
    <n v="9"/>
    <x v="0"/>
    <n v="1"/>
    <n v="1"/>
    <n v="87"/>
    <n v="3"/>
    <n v="2"/>
    <n v="1"/>
    <n v="5151"/>
    <n v="12315"/>
    <n v="1"/>
    <n v="25"/>
    <n v="4"/>
    <n v="4"/>
    <n v="80"/>
    <n v="1"/>
    <n v="10"/>
    <n v="3"/>
    <n v="10"/>
    <n v="0"/>
    <n v="7"/>
    <n v="9"/>
  </r>
  <r>
    <s v="No"/>
    <s v="Travel_Rarely"/>
    <x v="3"/>
    <s v="Current Employees"/>
    <x v="1"/>
    <x v="4"/>
    <x v="1375"/>
    <x v="1375"/>
    <x v="1"/>
    <x v="1"/>
    <x v="1"/>
    <s v="No"/>
    <s v="Y"/>
    <n v="2"/>
    <n v="-2"/>
    <n v="0"/>
    <n v="55"/>
    <n v="0"/>
    <m/>
    <n v="0"/>
    <n v="1"/>
    <n v="836"/>
    <n v="2"/>
    <x v="2"/>
    <n v="1"/>
    <n v="4"/>
    <n v="98"/>
    <n v="2"/>
    <n v="1"/>
    <n v="4"/>
    <n v="2662"/>
    <n v="7975"/>
    <n v="8"/>
    <n v="20"/>
    <n v="4"/>
    <n v="2"/>
    <n v="80"/>
    <n v="1"/>
    <n v="19"/>
    <n v="4"/>
    <n v="5"/>
    <n v="2"/>
    <n v="0"/>
    <n v="4"/>
  </r>
  <r>
    <s v="No"/>
    <s v="Travel_Rarely"/>
    <x v="3"/>
    <s v="Current Employees"/>
    <x v="1"/>
    <x v="0"/>
    <x v="1376"/>
    <x v="1376"/>
    <x v="1"/>
    <x v="1"/>
    <x v="1"/>
    <s v="No"/>
    <s v="Y"/>
    <n v="2"/>
    <n v="-2"/>
    <n v="0"/>
    <n v="57"/>
    <n v="0"/>
    <m/>
    <n v="0"/>
    <n v="1"/>
    <n v="405"/>
    <n v="1"/>
    <x v="0"/>
    <n v="1"/>
    <n v="2"/>
    <n v="93"/>
    <n v="4"/>
    <n v="2"/>
    <n v="3"/>
    <n v="4900"/>
    <n v="2721"/>
    <n v="0"/>
    <n v="24"/>
    <n v="4"/>
    <n v="1"/>
    <n v="80"/>
    <n v="1"/>
    <n v="13"/>
    <n v="2"/>
    <n v="12"/>
    <n v="9"/>
    <n v="2"/>
    <n v="8"/>
  </r>
  <r>
    <s v="No"/>
    <s v="Travel_Rarely"/>
    <x v="0"/>
    <s v="Current Employees"/>
    <x v="1"/>
    <x v="0"/>
    <x v="1377"/>
    <x v="1377"/>
    <x v="1"/>
    <x v="7"/>
    <x v="1"/>
    <s v="No"/>
    <s v="Y"/>
    <n v="3"/>
    <n v="-2"/>
    <n v="0"/>
    <n v="43"/>
    <n v="0"/>
    <m/>
    <n v="0"/>
    <n v="1"/>
    <n v="1291"/>
    <n v="15"/>
    <x v="0"/>
    <n v="1"/>
    <n v="3"/>
    <n v="65"/>
    <n v="2"/>
    <n v="4"/>
    <n v="3"/>
    <n v="17603"/>
    <n v="3525"/>
    <n v="1"/>
    <n v="24"/>
    <n v="4"/>
    <n v="1"/>
    <n v="80"/>
    <n v="1"/>
    <n v="14"/>
    <n v="3"/>
    <n v="14"/>
    <n v="10"/>
    <n v="6"/>
    <n v="11"/>
  </r>
  <r>
    <s v="No"/>
    <s v="Travel_Rarely"/>
    <x v="0"/>
    <s v="Current Employees"/>
    <x v="1"/>
    <x v="0"/>
    <x v="1378"/>
    <x v="1378"/>
    <x v="1"/>
    <x v="1"/>
    <x v="1"/>
    <s v="No"/>
    <s v="Y"/>
    <n v="3"/>
    <n v="-2"/>
    <n v="0"/>
    <n v="41"/>
    <n v="0"/>
    <m/>
    <n v="0"/>
    <n v="1"/>
    <n v="642"/>
    <n v="1"/>
    <x v="3"/>
    <n v="1"/>
    <n v="4"/>
    <n v="76"/>
    <n v="3"/>
    <n v="1"/>
    <n v="4"/>
    <n v="2782"/>
    <n v="21412"/>
    <n v="3"/>
    <n v="22"/>
    <n v="4"/>
    <n v="1"/>
    <n v="80"/>
    <n v="1"/>
    <n v="12"/>
    <n v="3"/>
    <n v="5"/>
    <n v="3"/>
    <n v="1"/>
    <n v="0"/>
  </r>
  <r>
    <s v="No"/>
    <s v="Travel_Rarely"/>
    <x v="1"/>
    <s v="Current Employees"/>
    <x v="1"/>
    <x v="4"/>
    <x v="1379"/>
    <x v="1379"/>
    <x v="1"/>
    <x v="1"/>
    <x v="1"/>
    <s v="No"/>
    <s v="Y"/>
    <n v="3"/>
    <n v="-2"/>
    <n v="0"/>
    <n v="45"/>
    <n v="0"/>
    <m/>
    <n v="0"/>
    <n v="1"/>
    <n v="950"/>
    <n v="28"/>
    <x v="3"/>
    <n v="1"/>
    <n v="4"/>
    <n v="97"/>
    <n v="3"/>
    <n v="1"/>
    <n v="4"/>
    <n v="2132"/>
    <n v="4585"/>
    <n v="4"/>
    <n v="20"/>
    <n v="4"/>
    <n v="4"/>
    <n v="80"/>
    <n v="1"/>
    <n v="8"/>
    <n v="3"/>
    <n v="5"/>
    <n v="4"/>
    <n v="0"/>
    <n v="3"/>
  </r>
  <r>
    <s v="No"/>
    <s v="Travel_Rarely"/>
    <x v="1"/>
    <s v="Current Employees"/>
    <x v="1"/>
    <x v="2"/>
    <x v="1380"/>
    <x v="1380"/>
    <x v="1"/>
    <x v="4"/>
    <x v="0"/>
    <s v="No"/>
    <s v="Y"/>
    <n v="3"/>
    <n v="-2"/>
    <n v="0"/>
    <n v="47"/>
    <n v="0"/>
    <m/>
    <n v="0"/>
    <n v="1"/>
    <n v="1180"/>
    <n v="25"/>
    <x v="3"/>
    <n v="1"/>
    <n v="1"/>
    <n v="84"/>
    <n v="3"/>
    <n v="3"/>
    <n v="3"/>
    <n v="8633"/>
    <n v="13084"/>
    <n v="2"/>
    <n v="23"/>
    <n v="4"/>
    <n v="2"/>
    <n v="80"/>
    <n v="0"/>
    <n v="25"/>
    <n v="3"/>
    <n v="17"/>
    <n v="14"/>
    <n v="12"/>
    <n v="11"/>
  </r>
  <r>
    <s v="No"/>
    <s v="Travel_Rarely"/>
    <x v="0"/>
    <s v="Current Employees"/>
    <x v="1"/>
    <x v="2"/>
    <x v="1381"/>
    <x v="1381"/>
    <x v="1"/>
    <x v="7"/>
    <x v="0"/>
    <s v="No"/>
    <s v="Y"/>
    <n v="3"/>
    <n v="-2"/>
    <n v="0"/>
    <n v="39"/>
    <n v="0"/>
    <m/>
    <n v="0"/>
    <n v="1"/>
    <n v="1253"/>
    <n v="10"/>
    <x v="1"/>
    <n v="1"/>
    <n v="3"/>
    <n v="65"/>
    <n v="3"/>
    <n v="3"/>
    <n v="3"/>
    <n v="13464"/>
    <n v="7914"/>
    <n v="7"/>
    <n v="21"/>
    <n v="4"/>
    <n v="3"/>
    <n v="80"/>
    <n v="0"/>
    <n v="9"/>
    <n v="3"/>
    <n v="4"/>
    <n v="3"/>
    <n v="2"/>
    <n v="2"/>
  </r>
  <r>
    <s v="No"/>
    <s v="Travel_Rarely"/>
    <x v="2"/>
    <s v="Current Employees"/>
    <x v="1"/>
    <x v="2"/>
    <x v="1382"/>
    <x v="1382"/>
    <x v="1"/>
    <x v="5"/>
    <x v="0"/>
    <s v="No"/>
    <s v="Y"/>
    <n v="5"/>
    <n v="-2"/>
    <n v="0"/>
    <n v="32"/>
    <n v="0"/>
    <m/>
    <n v="0"/>
    <n v="1"/>
    <n v="495"/>
    <n v="10"/>
    <x v="3"/>
    <n v="1"/>
    <n v="3"/>
    <n v="64"/>
    <n v="3"/>
    <n v="3"/>
    <n v="4"/>
    <n v="11244"/>
    <n v="21072"/>
    <n v="2"/>
    <n v="25"/>
    <n v="4"/>
    <n v="2"/>
    <n v="80"/>
    <n v="0"/>
    <n v="10"/>
    <n v="4"/>
    <n v="5"/>
    <n v="2"/>
    <n v="0"/>
    <n v="0"/>
  </r>
  <r>
    <s v="No"/>
    <s v="Travel_Rarely"/>
    <x v="2"/>
    <s v="Current Employees"/>
    <x v="1"/>
    <x v="0"/>
    <x v="1383"/>
    <x v="1383"/>
    <x v="1"/>
    <x v="3"/>
    <x v="0"/>
    <s v="No"/>
    <s v="Y"/>
    <n v="1"/>
    <n v="-2"/>
    <n v="0"/>
    <n v="32"/>
    <n v="0"/>
    <m/>
    <n v="0"/>
    <n v="1"/>
    <n v="1373"/>
    <n v="5"/>
    <x v="2"/>
    <n v="1"/>
    <n v="4"/>
    <n v="56"/>
    <n v="2"/>
    <n v="2"/>
    <n v="4"/>
    <n v="9679"/>
    <n v="10138"/>
    <n v="8"/>
    <n v="24"/>
    <n v="4"/>
    <n v="2"/>
    <n v="80"/>
    <n v="0"/>
    <n v="8"/>
    <n v="3"/>
    <n v="1"/>
    <n v="0"/>
    <n v="0"/>
    <n v="0"/>
  </r>
  <r>
    <s v="No"/>
    <s v="Travel_Rarely"/>
    <x v="0"/>
    <s v="Current Employees"/>
    <x v="1"/>
    <x v="1"/>
    <x v="1384"/>
    <x v="1384"/>
    <x v="1"/>
    <x v="5"/>
    <x v="0"/>
    <s v="No"/>
    <s v="Y"/>
    <n v="2"/>
    <n v="-2"/>
    <n v="0"/>
    <n v="42"/>
    <n v="0"/>
    <m/>
    <n v="0"/>
    <n v="1"/>
    <n v="1059"/>
    <n v="9"/>
    <x v="0"/>
    <n v="1"/>
    <n v="4"/>
    <n v="93"/>
    <n v="2"/>
    <n v="5"/>
    <n v="4"/>
    <n v="19613"/>
    <n v="26362"/>
    <n v="8"/>
    <n v="22"/>
    <n v="4"/>
    <n v="4"/>
    <n v="80"/>
    <n v="0"/>
    <n v="24"/>
    <n v="3"/>
    <n v="1"/>
    <n v="0"/>
    <n v="0"/>
    <n v="1"/>
  </r>
  <r>
    <s v="No"/>
    <s v="Travel_Rarely"/>
    <x v="3"/>
    <s v="Current Employees"/>
    <x v="0"/>
    <x v="3"/>
    <x v="1385"/>
    <x v="1385"/>
    <x v="1"/>
    <x v="5"/>
    <x v="1"/>
    <s v="No"/>
    <s v="Y"/>
    <n v="3"/>
    <n v="-2"/>
    <n v="0"/>
    <n v="55"/>
    <n v="0"/>
    <m/>
    <n v="0"/>
    <n v="1"/>
    <n v="685"/>
    <n v="26"/>
    <x v="4"/>
    <n v="1"/>
    <n v="3"/>
    <n v="60"/>
    <n v="2"/>
    <n v="5"/>
    <n v="1"/>
    <n v="19586"/>
    <n v="23037"/>
    <n v="1"/>
    <n v="21"/>
    <n v="4"/>
    <n v="3"/>
    <n v="80"/>
    <n v="1"/>
    <n v="36"/>
    <n v="3"/>
    <n v="36"/>
    <n v="6"/>
    <n v="2"/>
    <n v="13"/>
  </r>
  <r>
    <s v="No"/>
    <s v="Travel_Rarely"/>
    <x v="2"/>
    <s v="Current Employees"/>
    <x v="0"/>
    <x v="4"/>
    <x v="1386"/>
    <x v="1386"/>
    <x v="1"/>
    <x v="0"/>
    <x v="1"/>
    <s v="No"/>
    <s v="Y"/>
    <n v="5"/>
    <n v="-2"/>
    <n v="0"/>
    <n v="34"/>
    <n v="0"/>
    <m/>
    <n v="0"/>
    <n v="1"/>
    <n v="810"/>
    <n v="8"/>
    <x v="0"/>
    <n v="1"/>
    <n v="4"/>
    <n v="92"/>
    <n v="4"/>
    <n v="2"/>
    <n v="4"/>
    <n v="6799"/>
    <n v="22128"/>
    <n v="1"/>
    <n v="21"/>
    <n v="4"/>
    <n v="3"/>
    <n v="80"/>
    <n v="2"/>
    <n v="10"/>
    <n v="3"/>
    <n v="10"/>
    <n v="8"/>
    <n v="4"/>
    <n v="8"/>
  </r>
  <r>
    <s v="No"/>
    <s v="Travel_Rarely"/>
    <x v="2"/>
    <s v="Current Employees"/>
    <x v="0"/>
    <x v="3"/>
    <x v="1387"/>
    <x v="1387"/>
    <x v="1"/>
    <x v="0"/>
    <x v="0"/>
    <s v="No"/>
    <s v="Y"/>
    <n v="3"/>
    <n v="-2"/>
    <n v="0"/>
    <n v="34"/>
    <n v="0"/>
    <m/>
    <n v="0"/>
    <n v="1"/>
    <n v="937"/>
    <n v="1"/>
    <x v="3"/>
    <n v="1"/>
    <n v="1"/>
    <n v="32"/>
    <n v="3"/>
    <n v="3"/>
    <n v="1"/>
    <n v="9888"/>
    <n v="6770"/>
    <n v="1"/>
    <n v="21"/>
    <n v="4"/>
    <n v="1"/>
    <n v="80"/>
    <n v="0"/>
    <n v="14"/>
    <n v="2"/>
    <n v="14"/>
    <n v="8"/>
    <n v="2"/>
    <n v="1"/>
  </r>
  <r>
    <s v="No"/>
    <s v="Non-Travel"/>
    <x v="1"/>
    <s v="Current Employees"/>
    <x v="1"/>
    <x v="2"/>
    <x v="1388"/>
    <x v="1388"/>
    <x v="0"/>
    <x v="3"/>
    <x v="1"/>
    <s v="Yes"/>
    <s v="Y"/>
    <n v="2"/>
    <n v="-2"/>
    <n v="0"/>
    <n v="53"/>
    <n v="0"/>
    <m/>
    <n v="0"/>
    <n v="1"/>
    <n v="661"/>
    <n v="1"/>
    <x v="2"/>
    <n v="1"/>
    <n v="1"/>
    <n v="60"/>
    <n v="2"/>
    <n v="4"/>
    <n v="3"/>
    <n v="12965"/>
    <n v="22308"/>
    <n v="4"/>
    <n v="20"/>
    <n v="4"/>
    <n v="4"/>
    <n v="80"/>
    <n v="3"/>
    <n v="27"/>
    <n v="2"/>
    <n v="3"/>
    <n v="2"/>
    <n v="0"/>
    <n v="2"/>
  </r>
  <r>
    <s v="No"/>
    <s v="Non-Travel"/>
    <x v="2"/>
    <s v="Current Employees"/>
    <x v="0"/>
    <x v="0"/>
    <x v="1389"/>
    <x v="1389"/>
    <x v="0"/>
    <x v="0"/>
    <x v="2"/>
    <s v="Yes"/>
    <s v="Y"/>
    <n v="2"/>
    <n v="-2"/>
    <n v="0"/>
    <n v="33"/>
    <n v="0"/>
    <m/>
    <n v="0"/>
    <n v="1"/>
    <n v="530"/>
    <n v="16"/>
    <x v="3"/>
    <n v="1"/>
    <n v="3"/>
    <n v="36"/>
    <n v="3"/>
    <n v="2"/>
    <n v="4"/>
    <n v="5368"/>
    <n v="16130"/>
    <n v="1"/>
    <n v="25"/>
    <n v="4"/>
    <n v="3"/>
    <n v="80"/>
    <n v="1"/>
    <n v="7"/>
    <n v="3"/>
    <n v="6"/>
    <n v="5"/>
    <n v="1"/>
    <n v="2"/>
  </r>
  <r>
    <s v="No"/>
    <s v="Travel_Rarely"/>
    <x v="0"/>
    <s v="Current Employees"/>
    <x v="1"/>
    <x v="0"/>
    <x v="1390"/>
    <x v="1390"/>
    <x v="0"/>
    <x v="7"/>
    <x v="1"/>
    <s v="Yes"/>
    <s v="Y"/>
    <n v="2"/>
    <n v="-2"/>
    <n v="0"/>
    <n v="37"/>
    <n v="0"/>
    <m/>
    <n v="0"/>
    <n v="1"/>
    <n v="161"/>
    <n v="10"/>
    <x v="3"/>
    <n v="1"/>
    <n v="3"/>
    <n v="42"/>
    <n v="4"/>
    <n v="3"/>
    <n v="4"/>
    <n v="13744"/>
    <n v="15471"/>
    <n v="1"/>
    <n v="25"/>
    <n v="4"/>
    <n v="1"/>
    <n v="80"/>
    <n v="1"/>
    <n v="16"/>
    <n v="3"/>
    <n v="16"/>
    <n v="11"/>
    <n v="6"/>
    <n v="8"/>
  </r>
  <r>
    <s v="No"/>
    <s v="Travel_Rarely"/>
    <x v="3"/>
    <s v="Current Employees"/>
    <x v="1"/>
    <x v="2"/>
    <x v="1391"/>
    <x v="1391"/>
    <x v="0"/>
    <x v="7"/>
    <x v="1"/>
    <s v="Yes"/>
    <s v="Y"/>
    <n v="3"/>
    <n v="-2"/>
    <n v="0"/>
    <n v="58"/>
    <n v="0"/>
    <m/>
    <n v="0"/>
    <n v="1"/>
    <n v="1055"/>
    <n v="1"/>
    <x v="3"/>
    <n v="1"/>
    <n v="4"/>
    <n v="76"/>
    <n v="3"/>
    <n v="5"/>
    <n v="1"/>
    <n v="19701"/>
    <n v="22456"/>
    <n v="3"/>
    <n v="21"/>
    <n v="4"/>
    <n v="3"/>
    <n v="80"/>
    <n v="1"/>
    <n v="32"/>
    <n v="3"/>
    <n v="9"/>
    <n v="8"/>
    <n v="1"/>
    <n v="5"/>
  </r>
  <r>
    <s v="No"/>
    <s v="Travel_Rarely"/>
    <x v="0"/>
    <s v="Current Employees"/>
    <x v="1"/>
    <x v="1"/>
    <x v="1392"/>
    <x v="1392"/>
    <x v="0"/>
    <x v="1"/>
    <x v="1"/>
    <s v="Yes"/>
    <s v="Y"/>
    <n v="2"/>
    <n v="-2"/>
    <n v="0"/>
    <n v="36"/>
    <n v="0"/>
    <m/>
    <n v="0"/>
    <n v="1"/>
    <n v="430"/>
    <n v="2"/>
    <x v="2"/>
    <n v="1"/>
    <n v="4"/>
    <n v="73"/>
    <n v="3"/>
    <n v="2"/>
    <n v="2"/>
    <n v="6962"/>
    <n v="19573"/>
    <n v="4"/>
    <n v="22"/>
    <n v="4"/>
    <n v="4"/>
    <n v="80"/>
    <n v="1"/>
    <n v="15"/>
    <n v="3"/>
    <n v="1"/>
    <n v="0"/>
    <n v="0"/>
    <n v="0"/>
  </r>
  <r>
    <s v="No"/>
    <s v="Travel_Rarely"/>
    <x v="2"/>
    <s v="Current Employees"/>
    <x v="0"/>
    <x v="1"/>
    <x v="1393"/>
    <x v="1393"/>
    <x v="0"/>
    <x v="0"/>
    <x v="2"/>
    <s v="Yes"/>
    <s v="Y"/>
    <n v="3"/>
    <n v="-2"/>
    <n v="0"/>
    <n v="25"/>
    <n v="0"/>
    <m/>
    <n v="0"/>
    <n v="1"/>
    <n v="1382"/>
    <n v="8"/>
    <x v="0"/>
    <n v="1"/>
    <n v="1"/>
    <n v="85"/>
    <n v="3"/>
    <n v="2"/>
    <n v="3"/>
    <n v="4907"/>
    <n v="13684"/>
    <n v="0"/>
    <n v="22"/>
    <n v="4"/>
    <n v="2"/>
    <n v="80"/>
    <n v="1"/>
    <n v="6"/>
    <n v="2"/>
    <n v="5"/>
    <n v="3"/>
    <n v="0"/>
    <n v="4"/>
  </r>
  <r>
    <s v="No"/>
    <s v="Travel_Rarely"/>
    <x v="0"/>
    <s v="Current Employees"/>
    <x v="0"/>
    <x v="3"/>
    <x v="1394"/>
    <x v="1394"/>
    <x v="0"/>
    <x v="6"/>
    <x v="1"/>
    <s v="Yes"/>
    <s v="Y"/>
    <n v="4"/>
    <n v="-2"/>
    <n v="0"/>
    <n v="38"/>
    <n v="0"/>
    <m/>
    <n v="0"/>
    <n v="1"/>
    <n v="723"/>
    <n v="2"/>
    <x v="2"/>
    <n v="1"/>
    <n v="2"/>
    <n v="77"/>
    <n v="1"/>
    <n v="2"/>
    <n v="1"/>
    <n v="5405"/>
    <n v="4244"/>
    <n v="2"/>
    <n v="20"/>
    <n v="4"/>
    <n v="1"/>
    <n v="80"/>
    <n v="2"/>
    <n v="20"/>
    <n v="2"/>
    <n v="4"/>
    <n v="2"/>
    <n v="0"/>
    <n v="3"/>
  </r>
  <r>
    <s v="No"/>
    <s v="Travel_Rarely"/>
    <x v="0"/>
    <s v="Current Employees"/>
    <x v="2"/>
    <x v="2"/>
    <x v="1395"/>
    <x v="1395"/>
    <x v="1"/>
    <x v="5"/>
    <x v="0"/>
    <s v="Yes"/>
    <s v="Y"/>
    <n v="2"/>
    <n v="-2"/>
    <n v="0"/>
    <n v="40"/>
    <n v="0"/>
    <m/>
    <n v="0"/>
    <n v="1"/>
    <n v="898"/>
    <n v="6"/>
    <x v="0"/>
    <n v="1"/>
    <n v="3"/>
    <n v="38"/>
    <n v="3"/>
    <n v="4"/>
    <n v="4"/>
    <n v="16437"/>
    <n v="17381"/>
    <n v="1"/>
    <n v="21"/>
    <n v="4"/>
    <n v="4"/>
    <n v="80"/>
    <n v="0"/>
    <n v="21"/>
    <n v="3"/>
    <n v="21"/>
    <n v="7"/>
    <n v="7"/>
    <n v="7"/>
  </r>
  <r>
    <s v="No"/>
    <s v="Travel_Rarely"/>
    <x v="2"/>
    <s v="Current Employees"/>
    <x v="1"/>
    <x v="0"/>
    <x v="1396"/>
    <x v="1396"/>
    <x v="1"/>
    <x v="3"/>
    <x v="1"/>
    <s v="Yes"/>
    <s v="Y"/>
    <n v="0"/>
    <n v="-2"/>
    <n v="0"/>
    <n v="27"/>
    <n v="0"/>
    <m/>
    <n v="0"/>
    <n v="1"/>
    <n v="155"/>
    <n v="4"/>
    <x v="3"/>
    <n v="1"/>
    <n v="2"/>
    <n v="87"/>
    <n v="4"/>
    <n v="2"/>
    <n v="2"/>
    <n v="6142"/>
    <n v="5174"/>
    <n v="1"/>
    <n v="20"/>
    <n v="4"/>
    <n v="2"/>
    <n v="80"/>
    <n v="1"/>
    <n v="6"/>
    <n v="3"/>
    <n v="6"/>
    <n v="2"/>
    <n v="0"/>
    <n v="3"/>
  </r>
  <r>
    <s v="No"/>
    <s v="Travel_Rarely"/>
    <x v="0"/>
    <s v="Current Employees"/>
    <x v="1"/>
    <x v="2"/>
    <x v="1397"/>
    <x v="1397"/>
    <x v="1"/>
    <x v="1"/>
    <x v="1"/>
    <s v="Yes"/>
    <s v="Y"/>
    <n v="2"/>
    <n v="-2"/>
    <n v="0"/>
    <n v="37"/>
    <n v="0"/>
    <m/>
    <n v="0"/>
    <n v="1"/>
    <n v="783"/>
    <n v="7"/>
    <x v="2"/>
    <n v="1"/>
    <n v="4"/>
    <n v="78"/>
    <n v="3"/>
    <n v="2"/>
    <n v="1"/>
    <n v="4284"/>
    <n v="13588"/>
    <n v="5"/>
    <n v="22"/>
    <n v="4"/>
    <n v="3"/>
    <n v="80"/>
    <n v="1"/>
    <n v="16"/>
    <n v="3"/>
    <n v="5"/>
    <n v="3"/>
    <n v="0"/>
    <n v="4"/>
  </r>
  <r>
    <s v="No"/>
    <s v="Travel_Rarely"/>
    <x v="2"/>
    <s v="Current Employees"/>
    <x v="0"/>
    <x v="4"/>
    <x v="1398"/>
    <x v="1398"/>
    <x v="1"/>
    <x v="6"/>
    <x v="1"/>
    <s v="Yes"/>
    <s v="Y"/>
    <n v="4"/>
    <n v="-2"/>
    <n v="0"/>
    <n v="34"/>
    <n v="0"/>
    <m/>
    <n v="0"/>
    <n v="1"/>
    <n v="1440"/>
    <n v="7"/>
    <x v="0"/>
    <n v="1"/>
    <n v="4"/>
    <n v="55"/>
    <n v="3"/>
    <n v="1"/>
    <n v="4"/>
    <n v="2308"/>
    <n v="4944"/>
    <n v="0"/>
    <n v="25"/>
    <n v="4"/>
    <n v="2"/>
    <n v="80"/>
    <n v="1"/>
    <n v="12"/>
    <n v="3"/>
    <n v="11"/>
    <n v="10"/>
    <n v="5"/>
    <n v="7"/>
  </r>
  <r>
    <s v="No"/>
    <s v="Travel_Rarely"/>
    <x v="0"/>
    <s v="Current Employees"/>
    <x v="0"/>
    <x v="0"/>
    <x v="1399"/>
    <x v="1399"/>
    <x v="1"/>
    <x v="6"/>
    <x v="0"/>
    <s v="Yes"/>
    <s v="Y"/>
    <n v="3"/>
    <n v="-2"/>
    <n v="0"/>
    <n v="36"/>
    <n v="0"/>
    <m/>
    <n v="0"/>
    <n v="1"/>
    <n v="1157"/>
    <n v="2"/>
    <x v="2"/>
    <n v="1"/>
    <n v="3"/>
    <n v="70"/>
    <n v="3"/>
    <n v="1"/>
    <n v="4"/>
    <n v="2644"/>
    <n v="17001"/>
    <n v="3"/>
    <n v="21"/>
    <n v="4"/>
    <n v="4"/>
    <n v="80"/>
    <n v="0"/>
    <n v="7"/>
    <n v="2"/>
    <n v="3"/>
    <n v="2"/>
    <n v="1"/>
    <n v="2"/>
  </r>
  <r>
    <s v="Yes"/>
    <s v="Travel_Frequently"/>
    <x v="2"/>
    <s v="Ex-Employees"/>
    <x v="2"/>
    <x v="5"/>
    <x v="1400"/>
    <x v="1400"/>
    <x v="0"/>
    <x v="8"/>
    <x v="2"/>
    <s v="No"/>
    <s v="Y"/>
    <n v="0"/>
    <n v="-2"/>
    <n v="0"/>
    <n v="30"/>
    <n v="1"/>
    <n v="1"/>
    <n v="1"/>
    <n v="0"/>
    <n v="600"/>
    <n v="8"/>
    <x v="3"/>
    <n v="1"/>
    <n v="3"/>
    <n v="66"/>
    <n v="2"/>
    <n v="1"/>
    <n v="4"/>
    <n v="2180"/>
    <n v="9732"/>
    <n v="6"/>
    <n v="11"/>
    <n v="3"/>
    <n v="3"/>
    <n v="80"/>
    <n v="1"/>
    <n v="6"/>
    <n v="2"/>
    <n v="4"/>
    <n v="2"/>
    <n v="1"/>
    <n v="2"/>
  </r>
  <r>
    <s v="Yes"/>
    <s v="Travel_Frequently"/>
    <x v="2"/>
    <s v="Ex-Employees"/>
    <x v="2"/>
    <x v="5"/>
    <x v="1401"/>
    <x v="1401"/>
    <x v="0"/>
    <x v="8"/>
    <x v="1"/>
    <s v="No"/>
    <s v="Y"/>
    <n v="2"/>
    <n v="-2"/>
    <n v="0"/>
    <n v="27"/>
    <n v="1"/>
    <n v="1"/>
    <n v="1"/>
    <n v="0"/>
    <n v="1337"/>
    <n v="22"/>
    <x v="3"/>
    <n v="1"/>
    <n v="1"/>
    <n v="58"/>
    <n v="2"/>
    <n v="1"/>
    <n v="2"/>
    <n v="2863"/>
    <n v="19555"/>
    <n v="1"/>
    <n v="12"/>
    <n v="3"/>
    <n v="1"/>
    <n v="80"/>
    <n v="0"/>
    <n v="1"/>
    <n v="3"/>
    <n v="1"/>
    <n v="0"/>
    <n v="0"/>
    <n v="0"/>
  </r>
  <r>
    <s v="Yes"/>
    <s v="Travel_Frequently"/>
    <x v="2"/>
    <s v="Ex-Employees"/>
    <x v="1"/>
    <x v="0"/>
    <x v="1402"/>
    <x v="1402"/>
    <x v="0"/>
    <x v="3"/>
    <x v="0"/>
    <s v="No"/>
    <s v="Y"/>
    <n v="2"/>
    <n v="-2"/>
    <n v="0"/>
    <n v="31"/>
    <n v="1"/>
    <n v="1"/>
    <n v="1"/>
    <n v="0"/>
    <n v="1445"/>
    <n v="1"/>
    <x v="4"/>
    <n v="1"/>
    <n v="3"/>
    <n v="100"/>
    <n v="4"/>
    <n v="3"/>
    <n v="2"/>
    <n v="7446"/>
    <n v="8931"/>
    <n v="1"/>
    <n v="11"/>
    <n v="3"/>
    <n v="1"/>
    <n v="80"/>
    <n v="0"/>
    <n v="10"/>
    <n v="3"/>
    <n v="10"/>
    <n v="8"/>
    <n v="4"/>
    <n v="7"/>
  </r>
  <r>
    <s v="Yes"/>
    <s v="Travel_Frequently"/>
    <x v="2"/>
    <s v="Ex-Employees"/>
    <x v="1"/>
    <x v="0"/>
    <x v="1403"/>
    <x v="1403"/>
    <x v="0"/>
    <x v="1"/>
    <x v="0"/>
    <s v="No"/>
    <s v="Y"/>
    <n v="2"/>
    <n v="-2"/>
    <n v="0"/>
    <n v="31"/>
    <n v="1"/>
    <n v="1"/>
    <n v="1"/>
    <n v="0"/>
    <n v="561"/>
    <n v="3"/>
    <x v="3"/>
    <n v="1"/>
    <n v="4"/>
    <n v="33"/>
    <n v="3"/>
    <n v="1"/>
    <n v="3"/>
    <n v="4084"/>
    <n v="4156"/>
    <n v="1"/>
    <n v="12"/>
    <n v="3"/>
    <n v="1"/>
    <n v="80"/>
    <n v="0"/>
    <n v="7"/>
    <n v="1"/>
    <n v="7"/>
    <n v="2"/>
    <n v="7"/>
    <n v="7"/>
  </r>
  <r>
    <s v="Yes"/>
    <s v="Travel_Frequently"/>
    <x v="2"/>
    <s v="Ex-Employees"/>
    <x v="0"/>
    <x v="4"/>
    <x v="1404"/>
    <x v="1404"/>
    <x v="0"/>
    <x v="0"/>
    <x v="0"/>
    <s v="No"/>
    <s v="Y"/>
    <n v="4"/>
    <n v="-2"/>
    <n v="0"/>
    <n v="29"/>
    <n v="1"/>
    <n v="1"/>
    <n v="1"/>
    <n v="0"/>
    <n v="115"/>
    <n v="13"/>
    <x v="3"/>
    <n v="1"/>
    <n v="4"/>
    <n v="51"/>
    <n v="3"/>
    <n v="2"/>
    <n v="4"/>
    <n v="5765"/>
    <n v="17485"/>
    <n v="5"/>
    <n v="11"/>
    <n v="3"/>
    <n v="1"/>
    <n v="80"/>
    <n v="0"/>
    <n v="7"/>
    <n v="1"/>
    <n v="5"/>
    <n v="3"/>
    <n v="0"/>
    <n v="0"/>
  </r>
  <r>
    <s v="Yes"/>
    <s v="Travel_Frequently"/>
    <x v="2"/>
    <s v="Ex-Employees"/>
    <x v="0"/>
    <x v="0"/>
    <x v="1405"/>
    <x v="1405"/>
    <x v="0"/>
    <x v="6"/>
    <x v="0"/>
    <s v="No"/>
    <s v="Y"/>
    <n v="3"/>
    <n v="-2"/>
    <n v="0"/>
    <n v="31"/>
    <n v="1"/>
    <n v="1"/>
    <n v="1"/>
    <n v="0"/>
    <n v="667"/>
    <n v="1"/>
    <x v="2"/>
    <n v="1"/>
    <n v="2"/>
    <n v="50"/>
    <n v="1"/>
    <n v="1"/>
    <n v="3"/>
    <n v="1359"/>
    <n v="16154"/>
    <n v="1"/>
    <n v="12"/>
    <n v="3"/>
    <n v="2"/>
    <n v="80"/>
    <n v="0"/>
    <n v="1"/>
    <n v="3"/>
    <n v="1"/>
    <n v="0"/>
    <n v="0"/>
    <n v="0"/>
  </r>
  <r>
    <s v="Yes"/>
    <s v="Travel_Rarely"/>
    <x v="2"/>
    <s v="Ex-Employees"/>
    <x v="2"/>
    <x v="4"/>
    <x v="1406"/>
    <x v="1406"/>
    <x v="0"/>
    <x v="8"/>
    <x v="1"/>
    <s v="No"/>
    <s v="Y"/>
    <n v="0"/>
    <n v="-2"/>
    <n v="0"/>
    <n v="34"/>
    <n v="1"/>
    <n v="1"/>
    <n v="1"/>
    <n v="0"/>
    <n v="1107"/>
    <n v="9"/>
    <x v="2"/>
    <n v="1"/>
    <n v="4"/>
    <n v="52"/>
    <n v="3"/>
    <n v="1"/>
    <n v="4"/>
    <n v="2742"/>
    <n v="3072"/>
    <n v="1"/>
    <n v="15"/>
    <n v="3"/>
    <n v="4"/>
    <n v="80"/>
    <n v="0"/>
    <n v="2"/>
    <n v="3"/>
    <n v="2"/>
    <n v="2"/>
    <n v="2"/>
    <n v="2"/>
  </r>
  <r>
    <s v="Yes"/>
    <s v="Travel_Rarely"/>
    <x v="1"/>
    <s v="Ex-Employees"/>
    <x v="1"/>
    <x v="4"/>
    <x v="1407"/>
    <x v="1407"/>
    <x v="0"/>
    <x v="3"/>
    <x v="1"/>
    <s v="No"/>
    <s v="Y"/>
    <n v="4"/>
    <n v="-2"/>
    <n v="0"/>
    <n v="53"/>
    <n v="1"/>
    <n v="1"/>
    <n v="1"/>
    <n v="0"/>
    <n v="607"/>
    <n v="2"/>
    <x v="4"/>
    <n v="1"/>
    <n v="3"/>
    <n v="78"/>
    <n v="2"/>
    <n v="3"/>
    <n v="4"/>
    <n v="10169"/>
    <n v="14618"/>
    <n v="0"/>
    <n v="16"/>
    <n v="3"/>
    <n v="2"/>
    <n v="80"/>
    <n v="1"/>
    <n v="34"/>
    <n v="3"/>
    <n v="33"/>
    <n v="7"/>
    <n v="1"/>
    <n v="9"/>
  </r>
  <r>
    <s v="Yes"/>
    <s v="Travel_Rarely"/>
    <x v="2"/>
    <s v="Ex-Employees"/>
    <x v="1"/>
    <x v="0"/>
    <x v="1408"/>
    <x v="1408"/>
    <x v="0"/>
    <x v="1"/>
    <x v="0"/>
    <s v="No"/>
    <s v="Y"/>
    <n v="3"/>
    <n v="-2"/>
    <n v="0"/>
    <n v="31"/>
    <n v="1"/>
    <n v="1"/>
    <n v="1"/>
    <n v="0"/>
    <n v="202"/>
    <n v="8"/>
    <x v="3"/>
    <n v="1"/>
    <n v="1"/>
    <n v="34"/>
    <n v="2"/>
    <n v="1"/>
    <n v="2"/>
    <n v="1261"/>
    <n v="22262"/>
    <n v="1"/>
    <n v="12"/>
    <n v="3"/>
    <n v="3"/>
    <n v="80"/>
    <n v="0"/>
    <n v="1"/>
    <n v="4"/>
    <n v="1"/>
    <n v="0"/>
    <n v="0"/>
    <n v="0"/>
  </r>
  <r>
    <s v="Yes"/>
    <s v="Travel_Rarely"/>
    <x v="2"/>
    <s v="Ex-Employees"/>
    <x v="0"/>
    <x v="3"/>
    <x v="1409"/>
    <x v="1409"/>
    <x v="0"/>
    <x v="6"/>
    <x v="0"/>
    <s v="No"/>
    <s v="Y"/>
    <n v="3"/>
    <n v="-2"/>
    <n v="0"/>
    <n v="29"/>
    <n v="1"/>
    <n v="1"/>
    <n v="1"/>
    <n v="0"/>
    <n v="428"/>
    <n v="9"/>
    <x v="3"/>
    <n v="1"/>
    <n v="2"/>
    <n v="52"/>
    <n v="1"/>
    <n v="1"/>
    <n v="1"/>
    <n v="2760"/>
    <n v="14630"/>
    <n v="1"/>
    <n v="13"/>
    <n v="3"/>
    <n v="3"/>
    <n v="80"/>
    <n v="0"/>
    <n v="2"/>
    <n v="3"/>
    <n v="2"/>
    <n v="2"/>
    <n v="2"/>
    <n v="2"/>
  </r>
  <r>
    <s v="Yes"/>
    <s v="Travel_Frequently"/>
    <x v="2"/>
    <s v="Ex-Employees"/>
    <x v="1"/>
    <x v="0"/>
    <x v="1410"/>
    <x v="1410"/>
    <x v="1"/>
    <x v="2"/>
    <x v="1"/>
    <s v="No"/>
    <s v="Y"/>
    <n v="3"/>
    <n v="-2"/>
    <n v="0"/>
    <n v="34"/>
    <n v="1"/>
    <n v="1"/>
    <n v="1"/>
    <n v="0"/>
    <n v="234"/>
    <n v="9"/>
    <x v="2"/>
    <n v="1"/>
    <n v="4"/>
    <n v="93"/>
    <n v="3"/>
    <n v="2"/>
    <n v="1"/>
    <n v="5346"/>
    <n v="6208"/>
    <n v="4"/>
    <n v="17"/>
    <n v="3"/>
    <n v="3"/>
    <n v="80"/>
    <n v="1"/>
    <n v="11"/>
    <n v="2"/>
    <n v="7"/>
    <n v="1"/>
    <n v="0"/>
    <n v="7"/>
  </r>
  <r>
    <s v="Yes"/>
    <s v="Travel_Frequently"/>
    <x v="2"/>
    <s v="Ex-Employees"/>
    <x v="1"/>
    <x v="2"/>
    <x v="1411"/>
    <x v="1411"/>
    <x v="1"/>
    <x v="2"/>
    <x v="0"/>
    <s v="No"/>
    <s v="Y"/>
    <n v="2"/>
    <n v="-2"/>
    <n v="0"/>
    <n v="28"/>
    <n v="1"/>
    <n v="1"/>
    <n v="1"/>
    <n v="0"/>
    <n v="289"/>
    <n v="2"/>
    <x v="0"/>
    <n v="1"/>
    <n v="3"/>
    <n v="38"/>
    <n v="2"/>
    <n v="1"/>
    <n v="1"/>
    <n v="2561"/>
    <n v="5355"/>
    <n v="7"/>
    <n v="11"/>
    <n v="3"/>
    <n v="3"/>
    <n v="80"/>
    <n v="0"/>
    <n v="8"/>
    <n v="2"/>
    <n v="0"/>
    <n v="0"/>
    <n v="0"/>
    <n v="0"/>
  </r>
  <r>
    <s v="Yes"/>
    <s v="Travel_Frequently"/>
    <x v="1"/>
    <s v="Ex-Employees"/>
    <x v="0"/>
    <x v="0"/>
    <x v="1412"/>
    <x v="1412"/>
    <x v="1"/>
    <x v="0"/>
    <x v="2"/>
    <s v="No"/>
    <s v="Y"/>
    <n v="3"/>
    <n v="-2"/>
    <n v="0"/>
    <n v="50"/>
    <n v="1"/>
    <n v="1"/>
    <n v="1"/>
    <n v="0"/>
    <n v="878"/>
    <n v="1"/>
    <x v="2"/>
    <n v="1"/>
    <n v="2"/>
    <n v="94"/>
    <n v="3"/>
    <n v="2"/>
    <n v="3"/>
    <n v="6728"/>
    <n v="14255"/>
    <n v="7"/>
    <n v="12"/>
    <n v="3"/>
    <n v="4"/>
    <n v="80"/>
    <n v="2"/>
    <n v="12"/>
    <n v="3"/>
    <n v="6"/>
    <n v="3"/>
    <n v="0"/>
    <n v="1"/>
  </r>
  <r>
    <s v="Yes"/>
    <s v="Travel_Frequently"/>
    <x v="1"/>
    <s v="Ex-Employees"/>
    <x v="0"/>
    <x v="0"/>
    <x v="1413"/>
    <x v="1413"/>
    <x v="1"/>
    <x v="0"/>
    <x v="1"/>
    <s v="No"/>
    <s v="Y"/>
    <n v="3"/>
    <n v="-2"/>
    <n v="0"/>
    <n v="47"/>
    <n v="1"/>
    <n v="1"/>
    <n v="1"/>
    <n v="0"/>
    <n v="1093"/>
    <n v="9"/>
    <x v="3"/>
    <n v="1"/>
    <n v="3"/>
    <n v="82"/>
    <n v="1"/>
    <n v="4"/>
    <n v="3"/>
    <n v="12936"/>
    <n v="24164"/>
    <n v="7"/>
    <n v="11"/>
    <n v="3"/>
    <n v="3"/>
    <n v="80"/>
    <n v="0"/>
    <n v="25"/>
    <n v="1"/>
    <n v="23"/>
    <n v="5"/>
    <n v="14"/>
    <n v="10"/>
  </r>
  <r>
    <s v="Yes"/>
    <s v="Travel_Frequently"/>
    <x v="2"/>
    <s v="Ex-Employees"/>
    <x v="0"/>
    <x v="4"/>
    <x v="1414"/>
    <x v="1414"/>
    <x v="1"/>
    <x v="6"/>
    <x v="1"/>
    <s v="No"/>
    <s v="Y"/>
    <n v="3"/>
    <n v="-2"/>
    <n v="0"/>
    <n v="28"/>
    <n v="1"/>
    <n v="1"/>
    <n v="1"/>
    <n v="0"/>
    <n v="1496"/>
    <n v="1"/>
    <x v="3"/>
    <n v="1"/>
    <n v="1"/>
    <n v="92"/>
    <n v="3"/>
    <n v="1"/>
    <n v="4"/>
    <n v="2909"/>
    <n v="15747"/>
    <n v="3"/>
    <n v="15"/>
    <n v="3"/>
    <n v="4"/>
    <n v="80"/>
    <n v="1"/>
    <n v="5"/>
    <n v="4"/>
    <n v="3"/>
    <n v="2"/>
    <n v="1"/>
    <n v="2"/>
  </r>
  <r>
    <s v="Yes"/>
    <s v="Travel_Frequently"/>
    <x v="4"/>
    <s v="Ex-Employees"/>
    <x v="0"/>
    <x v="3"/>
    <x v="1415"/>
    <x v="1415"/>
    <x v="1"/>
    <x v="6"/>
    <x v="1"/>
    <s v="No"/>
    <s v="Y"/>
    <n v="3"/>
    <n v="-2"/>
    <n v="0"/>
    <n v="23"/>
    <n v="1"/>
    <n v="1"/>
    <n v="1"/>
    <n v="0"/>
    <n v="638"/>
    <n v="9"/>
    <x v="3"/>
    <n v="1"/>
    <n v="4"/>
    <n v="33"/>
    <n v="3"/>
    <n v="1"/>
    <n v="1"/>
    <n v="1790"/>
    <n v="26956"/>
    <n v="1"/>
    <n v="19"/>
    <n v="3"/>
    <n v="1"/>
    <n v="80"/>
    <n v="1"/>
    <n v="1"/>
    <n v="2"/>
    <n v="1"/>
    <n v="0"/>
    <n v="1"/>
    <n v="0"/>
  </r>
  <r>
    <s v="Yes"/>
    <s v="Travel_Frequently"/>
    <x v="2"/>
    <s v="Ex-Employees"/>
    <x v="0"/>
    <x v="4"/>
    <x v="1416"/>
    <x v="1416"/>
    <x v="1"/>
    <x v="6"/>
    <x v="0"/>
    <s v="No"/>
    <s v="Y"/>
    <n v="3"/>
    <n v="-2"/>
    <n v="0"/>
    <n v="29"/>
    <n v="1"/>
    <n v="1"/>
    <n v="1"/>
    <n v="0"/>
    <n v="746"/>
    <n v="24"/>
    <x v="3"/>
    <n v="1"/>
    <n v="3"/>
    <n v="45"/>
    <n v="4"/>
    <n v="1"/>
    <n v="4"/>
    <n v="1091"/>
    <n v="10642"/>
    <n v="1"/>
    <n v="17"/>
    <n v="3"/>
    <n v="4"/>
    <n v="80"/>
    <n v="0"/>
    <n v="1"/>
    <n v="3"/>
    <n v="1"/>
    <n v="0"/>
    <n v="0"/>
    <n v="0"/>
  </r>
  <r>
    <s v="Yes"/>
    <s v="Travel_Rarely"/>
    <x v="2"/>
    <s v="Ex-Employees"/>
    <x v="2"/>
    <x v="5"/>
    <x v="1417"/>
    <x v="1417"/>
    <x v="1"/>
    <x v="8"/>
    <x v="1"/>
    <s v="No"/>
    <s v="Y"/>
    <n v="4"/>
    <n v="-2"/>
    <n v="0"/>
    <n v="31"/>
    <n v="1"/>
    <n v="1"/>
    <n v="1"/>
    <n v="0"/>
    <n v="359"/>
    <n v="18"/>
    <x v="4"/>
    <n v="1"/>
    <n v="4"/>
    <n v="89"/>
    <n v="4"/>
    <n v="1"/>
    <n v="1"/>
    <n v="2956"/>
    <n v="21495"/>
    <n v="0"/>
    <n v="17"/>
    <n v="3"/>
    <n v="3"/>
    <n v="80"/>
    <n v="0"/>
    <n v="2"/>
    <n v="3"/>
    <n v="1"/>
    <n v="0"/>
    <n v="0"/>
    <n v="0"/>
  </r>
  <r>
    <s v="Yes"/>
    <s v="Travel_Rarely"/>
    <x v="4"/>
    <s v="Ex-Employees"/>
    <x v="2"/>
    <x v="5"/>
    <x v="1418"/>
    <x v="1418"/>
    <x v="1"/>
    <x v="8"/>
    <x v="1"/>
    <s v="No"/>
    <s v="Y"/>
    <n v="2"/>
    <n v="-2"/>
    <n v="0"/>
    <n v="24"/>
    <n v="1"/>
    <n v="1"/>
    <n v="1"/>
    <n v="0"/>
    <n v="240"/>
    <n v="22"/>
    <x v="1"/>
    <n v="1"/>
    <n v="4"/>
    <n v="58"/>
    <n v="1"/>
    <n v="1"/>
    <n v="3"/>
    <n v="1555"/>
    <n v="11585"/>
    <n v="1"/>
    <n v="11"/>
    <n v="3"/>
    <n v="3"/>
    <n v="80"/>
    <n v="1"/>
    <n v="1"/>
    <n v="3"/>
    <n v="1"/>
    <n v="0"/>
    <n v="0"/>
    <n v="0"/>
  </r>
  <r>
    <s v="Yes"/>
    <s v="Travel_Rarely"/>
    <x v="2"/>
    <s v="Ex-Employees"/>
    <x v="1"/>
    <x v="4"/>
    <x v="1419"/>
    <x v="1419"/>
    <x v="1"/>
    <x v="2"/>
    <x v="2"/>
    <s v="No"/>
    <s v="Y"/>
    <n v="2"/>
    <n v="-2"/>
    <n v="0"/>
    <n v="28"/>
    <n v="1"/>
    <n v="1"/>
    <n v="1"/>
    <n v="0"/>
    <n v="1404"/>
    <n v="17"/>
    <x v="3"/>
    <n v="1"/>
    <n v="3"/>
    <n v="32"/>
    <n v="2"/>
    <n v="1"/>
    <n v="4"/>
    <n v="2367"/>
    <n v="18779"/>
    <n v="5"/>
    <n v="12"/>
    <n v="3"/>
    <n v="1"/>
    <n v="80"/>
    <n v="1"/>
    <n v="6"/>
    <n v="2"/>
    <n v="4"/>
    <n v="1"/>
    <n v="0"/>
    <n v="3"/>
  </r>
  <r>
    <s v="Yes"/>
    <s v="Travel_Rarely"/>
    <x v="3"/>
    <s v="Ex-Employees"/>
    <x v="1"/>
    <x v="4"/>
    <x v="1420"/>
    <x v="1420"/>
    <x v="1"/>
    <x v="2"/>
    <x v="1"/>
    <s v="No"/>
    <s v="Y"/>
    <n v="4"/>
    <n v="-2"/>
    <n v="0"/>
    <n v="56"/>
    <n v="1"/>
    <n v="1"/>
    <n v="1"/>
    <n v="0"/>
    <n v="310"/>
    <n v="7"/>
    <x v="0"/>
    <n v="1"/>
    <n v="4"/>
    <n v="72"/>
    <n v="3"/>
    <n v="1"/>
    <n v="4"/>
    <n v="2339"/>
    <n v="3666"/>
    <n v="8"/>
    <n v="11"/>
    <n v="3"/>
    <n v="4"/>
    <n v="80"/>
    <n v="1"/>
    <n v="14"/>
    <n v="1"/>
    <n v="10"/>
    <n v="9"/>
    <n v="9"/>
    <n v="8"/>
  </r>
  <r>
    <s v="Yes"/>
    <s v="Travel_Rarely"/>
    <x v="0"/>
    <s v="Ex-Employees"/>
    <x v="1"/>
    <x v="2"/>
    <x v="1421"/>
    <x v="1421"/>
    <x v="1"/>
    <x v="3"/>
    <x v="1"/>
    <s v="No"/>
    <s v="Y"/>
    <n v="2"/>
    <n v="-2"/>
    <n v="0"/>
    <n v="38"/>
    <n v="1"/>
    <n v="1"/>
    <n v="1"/>
    <n v="0"/>
    <n v="903"/>
    <n v="2"/>
    <x v="3"/>
    <n v="1"/>
    <n v="3"/>
    <n v="81"/>
    <n v="3"/>
    <n v="2"/>
    <n v="2"/>
    <n v="4855"/>
    <n v="7653"/>
    <n v="4"/>
    <n v="11"/>
    <n v="3"/>
    <n v="1"/>
    <n v="80"/>
    <n v="2"/>
    <n v="7"/>
    <n v="3"/>
    <n v="5"/>
    <n v="2"/>
    <n v="1"/>
    <n v="4"/>
  </r>
  <r>
    <s v="Yes"/>
    <s v="Travel_Rarely"/>
    <x v="2"/>
    <s v="Ex-Employees"/>
    <x v="1"/>
    <x v="4"/>
    <x v="1422"/>
    <x v="1422"/>
    <x v="1"/>
    <x v="1"/>
    <x v="0"/>
    <s v="No"/>
    <s v="Y"/>
    <n v="2"/>
    <n v="-2"/>
    <n v="0"/>
    <n v="29"/>
    <n v="1"/>
    <n v="1"/>
    <n v="1"/>
    <n v="0"/>
    <n v="224"/>
    <n v="1"/>
    <x v="2"/>
    <n v="1"/>
    <n v="1"/>
    <n v="100"/>
    <n v="2"/>
    <n v="1"/>
    <n v="1"/>
    <n v="2362"/>
    <n v="7568"/>
    <n v="6"/>
    <n v="13"/>
    <n v="3"/>
    <n v="3"/>
    <n v="80"/>
    <n v="0"/>
    <n v="11"/>
    <n v="1"/>
    <n v="9"/>
    <n v="7"/>
    <n v="0"/>
    <n v="7"/>
  </r>
  <r>
    <s v="Yes"/>
    <s v="Travel_Rarely"/>
    <x v="3"/>
    <s v="Ex-Employees"/>
    <x v="1"/>
    <x v="0"/>
    <x v="1423"/>
    <x v="1423"/>
    <x v="1"/>
    <x v="2"/>
    <x v="0"/>
    <s v="No"/>
    <s v="Y"/>
    <n v="3"/>
    <n v="-2"/>
    <n v="0"/>
    <n v="56"/>
    <n v="1"/>
    <n v="1"/>
    <n v="1"/>
    <n v="0"/>
    <n v="1162"/>
    <n v="24"/>
    <x v="0"/>
    <n v="1"/>
    <n v="1"/>
    <n v="97"/>
    <n v="3"/>
    <n v="1"/>
    <n v="4"/>
    <n v="2587"/>
    <n v="10261"/>
    <n v="1"/>
    <n v="16"/>
    <n v="3"/>
    <n v="4"/>
    <n v="80"/>
    <n v="0"/>
    <n v="5"/>
    <n v="3"/>
    <n v="4"/>
    <n v="2"/>
    <n v="1"/>
    <n v="0"/>
  </r>
  <r>
    <s v="Yes"/>
    <s v="Travel_Rarely"/>
    <x v="0"/>
    <s v="Ex-Employees"/>
    <x v="1"/>
    <x v="0"/>
    <x v="1424"/>
    <x v="1424"/>
    <x v="1"/>
    <x v="2"/>
    <x v="0"/>
    <s v="No"/>
    <s v="Y"/>
    <n v="3"/>
    <n v="-2"/>
    <n v="0"/>
    <n v="40"/>
    <n v="1"/>
    <n v="1"/>
    <n v="1"/>
    <n v="0"/>
    <n v="676"/>
    <n v="9"/>
    <x v="2"/>
    <n v="1"/>
    <n v="4"/>
    <n v="86"/>
    <n v="3"/>
    <n v="1"/>
    <n v="1"/>
    <n v="2018"/>
    <n v="21831"/>
    <n v="3"/>
    <n v="14"/>
    <n v="3"/>
    <n v="2"/>
    <n v="80"/>
    <n v="0"/>
    <n v="15"/>
    <n v="1"/>
    <n v="5"/>
    <n v="4"/>
    <n v="1"/>
    <n v="0"/>
  </r>
  <r>
    <s v="Yes"/>
    <s v="Travel_Rarely"/>
    <x v="0"/>
    <s v="Ex-Employees"/>
    <x v="1"/>
    <x v="2"/>
    <x v="1425"/>
    <x v="1425"/>
    <x v="1"/>
    <x v="3"/>
    <x v="0"/>
    <s v="No"/>
    <s v="Y"/>
    <n v="4"/>
    <n v="-2"/>
    <n v="0"/>
    <n v="37"/>
    <n v="1"/>
    <n v="1"/>
    <n v="1"/>
    <n v="0"/>
    <n v="370"/>
    <n v="10"/>
    <x v="2"/>
    <n v="1"/>
    <n v="4"/>
    <n v="58"/>
    <n v="3"/>
    <n v="2"/>
    <n v="1"/>
    <n v="4213"/>
    <n v="4992"/>
    <n v="1"/>
    <n v="15"/>
    <n v="3"/>
    <n v="2"/>
    <n v="80"/>
    <n v="0"/>
    <n v="10"/>
    <n v="1"/>
    <n v="10"/>
    <n v="3"/>
    <n v="0"/>
    <n v="8"/>
  </r>
  <r>
    <s v="Yes"/>
    <s v="Travel_Rarely"/>
    <x v="2"/>
    <s v="Ex-Employees"/>
    <x v="1"/>
    <x v="0"/>
    <x v="1426"/>
    <x v="1426"/>
    <x v="1"/>
    <x v="2"/>
    <x v="0"/>
    <s v="No"/>
    <s v="Y"/>
    <n v="2"/>
    <n v="-2"/>
    <n v="0"/>
    <n v="32"/>
    <n v="1"/>
    <n v="1"/>
    <n v="1"/>
    <n v="0"/>
    <n v="1259"/>
    <n v="2"/>
    <x v="2"/>
    <n v="1"/>
    <n v="4"/>
    <n v="95"/>
    <n v="3"/>
    <n v="1"/>
    <n v="2"/>
    <n v="1393"/>
    <n v="24852"/>
    <n v="1"/>
    <n v="12"/>
    <n v="3"/>
    <n v="1"/>
    <n v="80"/>
    <n v="0"/>
    <n v="1"/>
    <n v="3"/>
    <n v="1"/>
    <n v="0"/>
    <n v="0"/>
    <n v="0"/>
  </r>
  <r>
    <s v="Yes"/>
    <s v="Travel_Rarely"/>
    <x v="1"/>
    <s v="Ex-Employees"/>
    <x v="0"/>
    <x v="3"/>
    <x v="1427"/>
    <x v="1427"/>
    <x v="1"/>
    <x v="0"/>
    <x v="2"/>
    <s v="No"/>
    <s v="Y"/>
    <n v="1"/>
    <n v="-2"/>
    <n v="0"/>
    <n v="46"/>
    <n v="1"/>
    <n v="1"/>
    <n v="1"/>
    <n v="0"/>
    <n v="377"/>
    <n v="9"/>
    <x v="3"/>
    <n v="1"/>
    <n v="1"/>
    <n v="52"/>
    <n v="3"/>
    <n v="3"/>
    <n v="1"/>
    <n v="10096"/>
    <n v="15986"/>
    <n v="4"/>
    <n v="11"/>
    <n v="3"/>
    <n v="1"/>
    <n v="80"/>
    <n v="1"/>
    <n v="28"/>
    <n v="4"/>
    <n v="7"/>
    <n v="7"/>
    <n v="4"/>
    <n v="3"/>
  </r>
  <r>
    <s v="Yes"/>
    <s v="Travel_Rarely"/>
    <x v="2"/>
    <s v="Ex-Employees"/>
    <x v="0"/>
    <x v="0"/>
    <x v="1428"/>
    <x v="1428"/>
    <x v="1"/>
    <x v="6"/>
    <x v="1"/>
    <s v="No"/>
    <s v="Y"/>
    <n v="2"/>
    <n v="-2"/>
    <n v="0"/>
    <n v="25"/>
    <n v="1"/>
    <n v="1"/>
    <n v="1"/>
    <n v="0"/>
    <n v="383"/>
    <n v="9"/>
    <x v="0"/>
    <n v="1"/>
    <n v="1"/>
    <n v="68"/>
    <n v="2"/>
    <n v="1"/>
    <n v="1"/>
    <n v="4400"/>
    <n v="15182"/>
    <n v="3"/>
    <n v="12"/>
    <n v="3"/>
    <n v="1"/>
    <n v="80"/>
    <n v="0"/>
    <n v="6"/>
    <n v="3"/>
    <n v="3"/>
    <n v="2"/>
    <n v="2"/>
    <n v="2"/>
  </r>
  <r>
    <s v="Yes"/>
    <s v="Travel_Rarely"/>
    <x v="0"/>
    <s v="Ex-Employees"/>
    <x v="0"/>
    <x v="2"/>
    <x v="1429"/>
    <x v="1429"/>
    <x v="1"/>
    <x v="0"/>
    <x v="1"/>
    <s v="No"/>
    <s v="Y"/>
    <n v="3"/>
    <n v="-2"/>
    <n v="0"/>
    <n v="35"/>
    <n v="1"/>
    <n v="1"/>
    <n v="1"/>
    <n v="0"/>
    <n v="737"/>
    <n v="10"/>
    <x v="3"/>
    <n v="1"/>
    <n v="4"/>
    <n v="55"/>
    <n v="2"/>
    <n v="3"/>
    <n v="1"/>
    <n v="10306"/>
    <n v="21530"/>
    <n v="9"/>
    <n v="17"/>
    <n v="3"/>
    <n v="3"/>
    <n v="80"/>
    <n v="0"/>
    <n v="15"/>
    <n v="3"/>
    <n v="13"/>
    <n v="12"/>
    <n v="6"/>
    <n v="0"/>
  </r>
  <r>
    <s v="Yes"/>
    <s v="Travel_Rarely"/>
    <x v="2"/>
    <s v="Ex-Employees"/>
    <x v="0"/>
    <x v="0"/>
    <x v="1430"/>
    <x v="1430"/>
    <x v="1"/>
    <x v="0"/>
    <x v="1"/>
    <s v="No"/>
    <s v="Y"/>
    <n v="4"/>
    <n v="-2"/>
    <n v="0"/>
    <n v="30"/>
    <n v="1"/>
    <n v="1"/>
    <n v="1"/>
    <n v="0"/>
    <n v="740"/>
    <n v="1"/>
    <x v="3"/>
    <n v="1"/>
    <n v="2"/>
    <n v="64"/>
    <n v="2"/>
    <n v="2"/>
    <n v="1"/>
    <n v="9714"/>
    <n v="5323"/>
    <n v="1"/>
    <n v="11"/>
    <n v="3"/>
    <n v="4"/>
    <n v="80"/>
    <n v="1"/>
    <n v="10"/>
    <n v="3"/>
    <n v="10"/>
    <n v="8"/>
    <n v="6"/>
    <n v="7"/>
  </r>
  <r>
    <s v="Yes"/>
    <s v="Travel_Rarely"/>
    <x v="2"/>
    <s v="Ex-Employees"/>
    <x v="0"/>
    <x v="3"/>
    <x v="1431"/>
    <x v="1431"/>
    <x v="1"/>
    <x v="0"/>
    <x v="1"/>
    <s v="No"/>
    <s v="Y"/>
    <n v="2"/>
    <n v="-2"/>
    <n v="0"/>
    <n v="31"/>
    <n v="1"/>
    <n v="1"/>
    <n v="1"/>
    <n v="0"/>
    <n v="1079"/>
    <n v="16"/>
    <x v="2"/>
    <n v="1"/>
    <n v="1"/>
    <n v="70"/>
    <n v="3"/>
    <n v="3"/>
    <n v="1"/>
    <n v="8161"/>
    <n v="19002"/>
    <n v="2"/>
    <n v="13"/>
    <n v="3"/>
    <n v="1"/>
    <n v="80"/>
    <n v="3"/>
    <n v="10"/>
    <n v="3"/>
    <n v="1"/>
    <n v="0"/>
    <n v="0"/>
    <n v="0"/>
  </r>
  <r>
    <s v="Yes"/>
    <s v="Travel_Rarely"/>
    <x v="2"/>
    <s v="Ex-Employees"/>
    <x v="0"/>
    <x v="0"/>
    <x v="1432"/>
    <x v="1432"/>
    <x v="1"/>
    <x v="0"/>
    <x v="0"/>
    <s v="No"/>
    <s v="Y"/>
    <n v="2"/>
    <n v="-2"/>
    <n v="0"/>
    <n v="32"/>
    <n v="1"/>
    <n v="1"/>
    <n v="1"/>
    <n v="0"/>
    <n v="964"/>
    <n v="1"/>
    <x v="0"/>
    <n v="1"/>
    <n v="1"/>
    <n v="34"/>
    <n v="1"/>
    <n v="2"/>
    <n v="2"/>
    <n v="6735"/>
    <n v="12147"/>
    <n v="6"/>
    <n v="15"/>
    <n v="3"/>
    <n v="2"/>
    <n v="80"/>
    <n v="0"/>
    <n v="10"/>
    <n v="3"/>
    <n v="0"/>
    <n v="0"/>
    <n v="0"/>
    <n v="0"/>
  </r>
  <r>
    <s v="Yes"/>
    <s v="Travel_Rarely"/>
    <x v="4"/>
    <s v="Ex-Employees"/>
    <x v="0"/>
    <x v="3"/>
    <x v="1433"/>
    <x v="1433"/>
    <x v="1"/>
    <x v="6"/>
    <x v="0"/>
    <s v="No"/>
    <s v="Y"/>
    <n v="3"/>
    <n v="-2"/>
    <n v="0"/>
    <n v="21"/>
    <n v="1"/>
    <n v="1"/>
    <n v="1"/>
    <n v="0"/>
    <n v="337"/>
    <n v="7"/>
    <x v="1"/>
    <n v="1"/>
    <n v="2"/>
    <n v="31"/>
    <n v="3"/>
    <n v="1"/>
    <n v="1"/>
    <n v="2679"/>
    <n v="4567"/>
    <n v="1"/>
    <n v="13"/>
    <n v="3"/>
    <n v="2"/>
    <n v="80"/>
    <n v="0"/>
    <n v="1"/>
    <n v="3"/>
    <n v="1"/>
    <n v="0"/>
    <n v="1"/>
    <n v="0"/>
  </r>
  <r>
    <s v="Yes"/>
    <s v="Travel_Rarely"/>
    <x v="2"/>
    <s v="Ex-Employees"/>
    <x v="0"/>
    <x v="2"/>
    <x v="1434"/>
    <x v="1434"/>
    <x v="1"/>
    <x v="6"/>
    <x v="0"/>
    <s v="No"/>
    <s v="Y"/>
    <n v="3"/>
    <n v="-2"/>
    <n v="0"/>
    <n v="30"/>
    <n v="1"/>
    <n v="1"/>
    <n v="1"/>
    <n v="0"/>
    <n v="945"/>
    <n v="9"/>
    <x v="3"/>
    <n v="1"/>
    <n v="2"/>
    <n v="89"/>
    <n v="3"/>
    <n v="1"/>
    <n v="4"/>
    <n v="1081"/>
    <n v="16019"/>
    <n v="1"/>
    <n v="13"/>
    <n v="3"/>
    <n v="3"/>
    <n v="80"/>
    <n v="0"/>
    <n v="1"/>
    <n v="2"/>
    <n v="1"/>
    <n v="0"/>
    <n v="0"/>
    <n v="0"/>
  </r>
  <r>
    <s v="Yes"/>
    <s v="Travel_Frequently"/>
    <x v="2"/>
    <s v="Ex-Employees"/>
    <x v="1"/>
    <x v="0"/>
    <x v="1435"/>
    <x v="1435"/>
    <x v="0"/>
    <x v="1"/>
    <x v="0"/>
    <s v="Yes"/>
    <s v="Y"/>
    <n v="2"/>
    <n v="-2"/>
    <n v="0"/>
    <n v="32"/>
    <n v="1"/>
    <n v="1"/>
    <n v="1"/>
    <n v="0"/>
    <n v="238"/>
    <n v="5"/>
    <x v="0"/>
    <n v="1"/>
    <n v="1"/>
    <n v="47"/>
    <n v="4"/>
    <n v="1"/>
    <n v="3"/>
    <n v="2432"/>
    <n v="15318"/>
    <n v="3"/>
    <n v="14"/>
    <n v="3"/>
    <n v="1"/>
    <n v="80"/>
    <n v="0"/>
    <n v="8"/>
    <n v="3"/>
    <n v="4"/>
    <n v="1"/>
    <n v="0"/>
    <n v="3"/>
  </r>
  <r>
    <s v="Yes"/>
    <s v="Travel_Frequently"/>
    <x v="2"/>
    <s v="Ex-Employees"/>
    <x v="1"/>
    <x v="1"/>
    <x v="1436"/>
    <x v="1436"/>
    <x v="0"/>
    <x v="4"/>
    <x v="0"/>
    <s v="Yes"/>
    <s v="Y"/>
    <n v="1"/>
    <n v="-2"/>
    <n v="0"/>
    <n v="29"/>
    <n v="1"/>
    <n v="1"/>
    <n v="1"/>
    <n v="0"/>
    <n v="337"/>
    <n v="14"/>
    <x v="1"/>
    <n v="1"/>
    <n v="3"/>
    <n v="84"/>
    <n v="3"/>
    <n v="3"/>
    <n v="4"/>
    <n v="7553"/>
    <n v="22930"/>
    <n v="0"/>
    <n v="12"/>
    <n v="3"/>
    <n v="1"/>
    <n v="80"/>
    <n v="0"/>
    <n v="9"/>
    <n v="3"/>
    <n v="8"/>
    <n v="7"/>
    <n v="7"/>
    <n v="7"/>
  </r>
  <r>
    <s v="Yes"/>
    <s v="Travel_Frequently"/>
    <x v="1"/>
    <s v="Ex-Employees"/>
    <x v="0"/>
    <x v="2"/>
    <x v="1437"/>
    <x v="1437"/>
    <x v="0"/>
    <x v="6"/>
    <x v="1"/>
    <s v="Yes"/>
    <s v="Y"/>
    <n v="3"/>
    <n v="-2"/>
    <n v="0"/>
    <n v="48"/>
    <n v="1"/>
    <n v="1"/>
    <n v="1"/>
    <n v="0"/>
    <n v="708"/>
    <n v="7"/>
    <x v="0"/>
    <n v="1"/>
    <n v="4"/>
    <n v="95"/>
    <n v="3"/>
    <n v="1"/>
    <n v="3"/>
    <n v="2655"/>
    <n v="11740"/>
    <n v="2"/>
    <n v="11"/>
    <n v="3"/>
    <n v="3"/>
    <n v="80"/>
    <n v="2"/>
    <n v="19"/>
    <n v="3"/>
    <n v="9"/>
    <n v="7"/>
    <n v="7"/>
    <n v="7"/>
  </r>
  <r>
    <s v="Yes"/>
    <s v="Travel_Frequently"/>
    <x v="4"/>
    <s v="Ex-Employees"/>
    <x v="0"/>
    <x v="2"/>
    <x v="1438"/>
    <x v="1438"/>
    <x v="0"/>
    <x v="6"/>
    <x v="0"/>
    <s v="Yes"/>
    <s v="Y"/>
    <n v="2"/>
    <n v="-2"/>
    <n v="0"/>
    <n v="18"/>
    <n v="1"/>
    <n v="1"/>
    <n v="1"/>
    <n v="0"/>
    <n v="544"/>
    <n v="3"/>
    <x v="0"/>
    <n v="1"/>
    <n v="2"/>
    <n v="70"/>
    <n v="3"/>
    <n v="1"/>
    <n v="4"/>
    <n v="1569"/>
    <n v="18420"/>
    <n v="1"/>
    <n v="12"/>
    <n v="3"/>
    <n v="3"/>
    <n v="80"/>
    <n v="0"/>
    <n v="0"/>
    <n v="4"/>
    <n v="0"/>
    <n v="0"/>
    <n v="0"/>
    <n v="0"/>
  </r>
  <r>
    <s v="Yes"/>
    <s v="Travel_Rarely"/>
    <x v="2"/>
    <s v="Ex-Employees"/>
    <x v="2"/>
    <x v="2"/>
    <x v="1439"/>
    <x v="1439"/>
    <x v="0"/>
    <x v="8"/>
    <x v="1"/>
    <s v="Yes"/>
    <s v="Y"/>
    <n v="3"/>
    <n v="-2"/>
    <n v="0"/>
    <n v="26"/>
    <n v="1"/>
    <n v="1"/>
    <n v="1"/>
    <n v="0"/>
    <n v="920"/>
    <n v="20"/>
    <x v="0"/>
    <n v="1"/>
    <n v="4"/>
    <n v="69"/>
    <n v="3"/>
    <n v="1"/>
    <n v="2"/>
    <n v="2148"/>
    <n v="6889"/>
    <n v="0"/>
    <n v="11"/>
    <n v="3"/>
    <n v="3"/>
    <n v="80"/>
    <n v="0"/>
    <n v="6"/>
    <n v="3"/>
    <n v="5"/>
    <n v="1"/>
    <n v="1"/>
    <n v="4"/>
  </r>
  <r>
    <s v="Yes"/>
    <s v="Travel_Rarely"/>
    <x v="0"/>
    <s v="Ex-Employees"/>
    <x v="1"/>
    <x v="0"/>
    <x v="1440"/>
    <x v="1440"/>
    <x v="0"/>
    <x v="2"/>
    <x v="2"/>
    <s v="Yes"/>
    <s v="Y"/>
    <n v="2"/>
    <n v="-2"/>
    <n v="0"/>
    <n v="35"/>
    <n v="1"/>
    <n v="1"/>
    <n v="1"/>
    <n v="0"/>
    <n v="104"/>
    <n v="2"/>
    <x v="3"/>
    <n v="1"/>
    <n v="1"/>
    <n v="69"/>
    <n v="3"/>
    <n v="1"/>
    <n v="1"/>
    <n v="2074"/>
    <n v="26619"/>
    <n v="1"/>
    <n v="12"/>
    <n v="3"/>
    <n v="4"/>
    <n v="80"/>
    <n v="1"/>
    <n v="1"/>
    <n v="3"/>
    <n v="1"/>
    <n v="0"/>
    <n v="0"/>
    <n v="0"/>
  </r>
  <r>
    <s v="Yes"/>
    <s v="Travel_Rarely"/>
    <x v="4"/>
    <s v="Ex-Employees"/>
    <x v="1"/>
    <x v="2"/>
    <x v="1441"/>
    <x v="1441"/>
    <x v="0"/>
    <x v="2"/>
    <x v="1"/>
    <s v="Yes"/>
    <s v="Y"/>
    <n v="6"/>
    <n v="-2"/>
    <n v="0"/>
    <n v="22"/>
    <n v="1"/>
    <n v="1"/>
    <n v="1"/>
    <n v="0"/>
    <n v="1294"/>
    <n v="8"/>
    <x v="1"/>
    <n v="1"/>
    <n v="3"/>
    <n v="79"/>
    <n v="3"/>
    <n v="1"/>
    <n v="1"/>
    <n v="2398"/>
    <n v="15999"/>
    <n v="1"/>
    <n v="17"/>
    <n v="3"/>
    <n v="3"/>
    <n v="80"/>
    <n v="0"/>
    <n v="1"/>
    <n v="3"/>
    <n v="1"/>
    <n v="0"/>
    <n v="0"/>
    <n v="0"/>
  </r>
  <r>
    <s v="Yes"/>
    <s v="Travel_Rarely"/>
    <x v="2"/>
    <s v="Ex-Employees"/>
    <x v="0"/>
    <x v="3"/>
    <x v="1442"/>
    <x v="1442"/>
    <x v="0"/>
    <x v="0"/>
    <x v="0"/>
    <s v="Yes"/>
    <s v="Y"/>
    <n v="0"/>
    <n v="-2"/>
    <n v="0"/>
    <n v="28"/>
    <n v="1"/>
    <n v="1"/>
    <n v="1"/>
    <n v="0"/>
    <n v="1475"/>
    <n v="13"/>
    <x v="0"/>
    <n v="1"/>
    <n v="4"/>
    <n v="84"/>
    <n v="3"/>
    <n v="2"/>
    <n v="1"/>
    <n v="9854"/>
    <n v="23352"/>
    <n v="3"/>
    <n v="11"/>
    <n v="3"/>
    <n v="4"/>
    <n v="80"/>
    <n v="0"/>
    <n v="6"/>
    <n v="3"/>
    <n v="2"/>
    <n v="0"/>
    <n v="2"/>
    <n v="2"/>
  </r>
  <r>
    <s v="Yes"/>
    <s v="Travel_Frequently"/>
    <x v="0"/>
    <s v="Ex-Employees"/>
    <x v="1"/>
    <x v="2"/>
    <x v="1443"/>
    <x v="1443"/>
    <x v="1"/>
    <x v="1"/>
    <x v="2"/>
    <s v="Yes"/>
    <s v="Y"/>
    <n v="2"/>
    <n v="-2"/>
    <n v="0"/>
    <n v="44"/>
    <n v="1"/>
    <n v="1"/>
    <n v="1"/>
    <n v="0"/>
    <n v="429"/>
    <n v="1"/>
    <x v="0"/>
    <n v="1"/>
    <n v="3"/>
    <n v="99"/>
    <n v="3"/>
    <n v="1"/>
    <n v="2"/>
    <n v="2342"/>
    <n v="11092"/>
    <n v="1"/>
    <n v="12"/>
    <n v="3"/>
    <n v="3"/>
    <n v="80"/>
    <n v="3"/>
    <n v="6"/>
    <n v="2"/>
    <n v="5"/>
    <n v="3"/>
    <n v="2"/>
    <n v="3"/>
  </r>
  <r>
    <s v="Yes"/>
    <s v="Travel_Frequently"/>
    <x v="2"/>
    <s v="Ex-Employees"/>
    <x v="1"/>
    <x v="0"/>
    <x v="1444"/>
    <x v="1444"/>
    <x v="1"/>
    <x v="2"/>
    <x v="1"/>
    <s v="Yes"/>
    <s v="Y"/>
    <n v="2"/>
    <n v="-2"/>
    <n v="0"/>
    <n v="31"/>
    <n v="1"/>
    <n v="1"/>
    <n v="1"/>
    <n v="0"/>
    <n v="523"/>
    <n v="2"/>
    <x v="3"/>
    <n v="1"/>
    <n v="2"/>
    <n v="94"/>
    <n v="3"/>
    <n v="1"/>
    <n v="4"/>
    <n v="3722"/>
    <n v="21081"/>
    <n v="6"/>
    <n v="13"/>
    <n v="3"/>
    <n v="3"/>
    <n v="80"/>
    <n v="1"/>
    <n v="7"/>
    <n v="1"/>
    <n v="2"/>
    <n v="2"/>
    <n v="2"/>
    <n v="2"/>
  </r>
  <r>
    <s v="Yes"/>
    <s v="Travel_Frequently"/>
    <x v="0"/>
    <s v="Ex-Employees"/>
    <x v="1"/>
    <x v="4"/>
    <x v="1445"/>
    <x v="1445"/>
    <x v="1"/>
    <x v="1"/>
    <x v="1"/>
    <s v="Yes"/>
    <s v="Y"/>
    <n v="4"/>
    <n v="-2"/>
    <n v="0"/>
    <n v="43"/>
    <n v="1"/>
    <n v="1"/>
    <n v="1"/>
    <n v="0"/>
    <n v="807"/>
    <n v="17"/>
    <x v="3"/>
    <n v="1"/>
    <n v="3"/>
    <n v="38"/>
    <n v="2"/>
    <n v="1"/>
    <n v="3"/>
    <n v="2437"/>
    <n v="15587"/>
    <n v="9"/>
    <n v="16"/>
    <n v="3"/>
    <n v="4"/>
    <n v="80"/>
    <n v="1"/>
    <n v="6"/>
    <n v="3"/>
    <n v="1"/>
    <n v="0"/>
    <n v="0"/>
    <n v="0"/>
  </r>
  <r>
    <s v="Yes"/>
    <s v="Travel_Frequently"/>
    <x v="4"/>
    <s v="Ex-Employees"/>
    <x v="1"/>
    <x v="2"/>
    <x v="1446"/>
    <x v="1446"/>
    <x v="1"/>
    <x v="2"/>
    <x v="0"/>
    <s v="Yes"/>
    <s v="Y"/>
    <n v="2"/>
    <n v="-2"/>
    <n v="0"/>
    <n v="24"/>
    <n v="1"/>
    <n v="1"/>
    <n v="1"/>
    <n v="0"/>
    <n v="381"/>
    <n v="9"/>
    <x v="3"/>
    <n v="1"/>
    <n v="2"/>
    <n v="89"/>
    <n v="3"/>
    <n v="1"/>
    <n v="1"/>
    <n v="3172"/>
    <n v="16998"/>
    <n v="2"/>
    <n v="11"/>
    <n v="3"/>
    <n v="3"/>
    <n v="80"/>
    <n v="0"/>
    <n v="4"/>
    <n v="2"/>
    <n v="0"/>
    <n v="0"/>
    <n v="0"/>
    <n v="0"/>
  </r>
  <r>
    <s v="Yes"/>
    <s v="Travel_Frequently"/>
    <x v="2"/>
    <s v="Ex-Employees"/>
    <x v="0"/>
    <x v="3"/>
    <x v="1447"/>
    <x v="1447"/>
    <x v="1"/>
    <x v="0"/>
    <x v="1"/>
    <s v="Yes"/>
    <s v="Y"/>
    <n v="4"/>
    <n v="-2"/>
    <n v="0"/>
    <n v="31"/>
    <n v="1"/>
    <n v="1"/>
    <n v="1"/>
    <n v="0"/>
    <n v="754"/>
    <n v="26"/>
    <x v="2"/>
    <n v="1"/>
    <n v="1"/>
    <n v="63"/>
    <n v="3"/>
    <n v="2"/>
    <n v="1"/>
    <n v="5617"/>
    <n v="21075"/>
    <n v="1"/>
    <n v="11"/>
    <n v="3"/>
    <n v="3"/>
    <n v="80"/>
    <n v="0"/>
    <n v="10"/>
    <n v="3"/>
    <n v="10"/>
    <n v="7"/>
    <n v="0"/>
    <n v="8"/>
  </r>
  <r>
    <s v="Yes"/>
    <s v="Travel_Rarely"/>
    <x v="2"/>
    <s v="Ex-Employees"/>
    <x v="2"/>
    <x v="5"/>
    <x v="1448"/>
    <x v="1448"/>
    <x v="1"/>
    <x v="8"/>
    <x v="2"/>
    <s v="Yes"/>
    <s v="Y"/>
    <n v="3"/>
    <n v="-2"/>
    <n v="0"/>
    <n v="29"/>
    <n v="1"/>
    <n v="1"/>
    <n v="1"/>
    <n v="0"/>
    <n v="350"/>
    <n v="13"/>
    <x v="3"/>
    <n v="1"/>
    <n v="1"/>
    <n v="56"/>
    <n v="2"/>
    <n v="1"/>
    <n v="1"/>
    <n v="2335"/>
    <n v="3157"/>
    <n v="4"/>
    <n v="15"/>
    <n v="3"/>
    <n v="4"/>
    <n v="80"/>
    <n v="3"/>
    <n v="4"/>
    <n v="3"/>
    <n v="2"/>
    <n v="2"/>
    <n v="2"/>
    <n v="0"/>
  </r>
  <r>
    <s v="Yes"/>
    <s v="Travel_Rarely"/>
    <x v="2"/>
    <s v="Ex-Employees"/>
    <x v="1"/>
    <x v="2"/>
    <x v="1449"/>
    <x v="1449"/>
    <x v="1"/>
    <x v="1"/>
    <x v="1"/>
    <s v="Yes"/>
    <s v="Y"/>
    <n v="3"/>
    <n v="-2"/>
    <n v="0"/>
    <n v="29"/>
    <n v="1"/>
    <n v="1"/>
    <n v="1"/>
    <n v="0"/>
    <n v="1092"/>
    <n v="1"/>
    <x v="2"/>
    <n v="1"/>
    <n v="1"/>
    <n v="36"/>
    <n v="3"/>
    <n v="1"/>
    <n v="4"/>
    <n v="4787"/>
    <n v="26124"/>
    <n v="9"/>
    <n v="14"/>
    <n v="3"/>
    <n v="2"/>
    <n v="80"/>
    <n v="3"/>
    <n v="4"/>
    <n v="4"/>
    <n v="2"/>
    <n v="2"/>
    <n v="2"/>
    <n v="2"/>
  </r>
  <r>
    <s v="Yes"/>
    <s v="Travel_Rarely"/>
    <x v="2"/>
    <s v="Ex-Employees"/>
    <x v="1"/>
    <x v="2"/>
    <x v="1450"/>
    <x v="1450"/>
    <x v="1"/>
    <x v="2"/>
    <x v="1"/>
    <s v="Yes"/>
    <s v="Y"/>
    <n v="3"/>
    <n v="-2"/>
    <n v="0"/>
    <n v="28"/>
    <n v="1"/>
    <n v="1"/>
    <n v="1"/>
    <n v="0"/>
    <n v="329"/>
    <n v="24"/>
    <x v="3"/>
    <n v="1"/>
    <n v="3"/>
    <n v="51"/>
    <n v="3"/>
    <n v="1"/>
    <n v="2"/>
    <n v="2408"/>
    <n v="7324"/>
    <n v="1"/>
    <n v="17"/>
    <n v="3"/>
    <n v="3"/>
    <n v="80"/>
    <n v="3"/>
    <n v="1"/>
    <n v="3"/>
    <n v="1"/>
    <n v="1"/>
    <n v="0"/>
    <n v="0"/>
  </r>
  <r>
    <s v="Yes"/>
    <s v="Travel_Rarely"/>
    <x v="0"/>
    <s v="Ex-Employees"/>
    <x v="1"/>
    <x v="0"/>
    <x v="1451"/>
    <x v="1451"/>
    <x v="1"/>
    <x v="2"/>
    <x v="0"/>
    <s v="Yes"/>
    <s v="Y"/>
    <n v="3"/>
    <n v="-2"/>
    <n v="0"/>
    <n v="40"/>
    <n v="1"/>
    <n v="1"/>
    <n v="1"/>
    <n v="0"/>
    <n v="1329"/>
    <n v="7"/>
    <x v="3"/>
    <n v="1"/>
    <n v="1"/>
    <n v="73"/>
    <n v="3"/>
    <n v="1"/>
    <n v="1"/>
    <n v="2166"/>
    <n v="3339"/>
    <n v="3"/>
    <n v="14"/>
    <n v="3"/>
    <n v="2"/>
    <n v="80"/>
    <n v="0"/>
    <n v="10"/>
    <n v="1"/>
    <n v="4"/>
    <n v="2"/>
    <n v="0"/>
    <n v="3"/>
  </r>
  <r>
    <s v="Yes"/>
    <s v="Travel_Rarely"/>
    <x v="4"/>
    <s v="Ex-Employees"/>
    <x v="1"/>
    <x v="2"/>
    <x v="1452"/>
    <x v="1452"/>
    <x v="1"/>
    <x v="2"/>
    <x v="0"/>
    <s v="Yes"/>
    <s v="Y"/>
    <n v="2"/>
    <n v="-2"/>
    <n v="0"/>
    <n v="23"/>
    <n v="1"/>
    <n v="1"/>
    <n v="1"/>
    <n v="0"/>
    <n v="1320"/>
    <n v="8"/>
    <x v="1"/>
    <n v="1"/>
    <n v="4"/>
    <n v="93"/>
    <n v="2"/>
    <n v="1"/>
    <n v="3"/>
    <n v="3989"/>
    <n v="20586"/>
    <n v="1"/>
    <n v="11"/>
    <n v="3"/>
    <n v="1"/>
    <n v="80"/>
    <n v="0"/>
    <n v="5"/>
    <n v="3"/>
    <n v="5"/>
    <n v="4"/>
    <n v="1"/>
    <n v="2"/>
  </r>
  <r>
    <s v="Yes"/>
    <s v="Travel_Rarely"/>
    <x v="1"/>
    <s v="Ex-Employees"/>
    <x v="0"/>
    <x v="3"/>
    <x v="1453"/>
    <x v="1453"/>
    <x v="1"/>
    <x v="0"/>
    <x v="2"/>
    <s v="Yes"/>
    <s v="Y"/>
    <n v="3"/>
    <n v="-2"/>
    <n v="0"/>
    <n v="50"/>
    <n v="1"/>
    <n v="1"/>
    <n v="1"/>
    <n v="0"/>
    <n v="410"/>
    <n v="28"/>
    <x v="3"/>
    <n v="1"/>
    <n v="4"/>
    <n v="39"/>
    <n v="2"/>
    <n v="3"/>
    <n v="1"/>
    <n v="10854"/>
    <n v="16586"/>
    <n v="4"/>
    <n v="13"/>
    <n v="3"/>
    <n v="2"/>
    <n v="80"/>
    <n v="1"/>
    <n v="20"/>
    <n v="3"/>
    <n v="3"/>
    <n v="2"/>
    <n v="2"/>
    <n v="0"/>
  </r>
  <r>
    <s v="Yes"/>
    <s v="Travel_Rarely"/>
    <x v="0"/>
    <s v="Ex-Employees"/>
    <x v="0"/>
    <x v="2"/>
    <x v="1454"/>
    <x v="1454"/>
    <x v="1"/>
    <x v="0"/>
    <x v="2"/>
    <s v="Yes"/>
    <s v="Y"/>
    <n v="2"/>
    <n v="-2"/>
    <n v="0"/>
    <n v="35"/>
    <n v="1"/>
    <n v="1"/>
    <n v="1"/>
    <n v="0"/>
    <n v="763"/>
    <n v="15"/>
    <x v="0"/>
    <n v="1"/>
    <n v="1"/>
    <n v="59"/>
    <n v="1"/>
    <n v="2"/>
    <n v="4"/>
    <n v="5440"/>
    <n v="22098"/>
    <n v="6"/>
    <n v="14"/>
    <n v="3"/>
    <n v="4"/>
    <n v="80"/>
    <n v="2"/>
    <n v="7"/>
    <n v="2"/>
    <n v="2"/>
    <n v="2"/>
    <n v="2"/>
    <n v="2"/>
  </r>
  <r>
    <s v="Yes"/>
    <s v="Travel_Rarely"/>
    <x v="0"/>
    <s v="Ex-Employees"/>
    <x v="0"/>
    <x v="3"/>
    <x v="1455"/>
    <x v="1455"/>
    <x v="1"/>
    <x v="0"/>
    <x v="2"/>
    <s v="Yes"/>
    <s v="Y"/>
    <n v="3"/>
    <n v="-2"/>
    <n v="0"/>
    <n v="36"/>
    <n v="1"/>
    <n v="1"/>
    <n v="1"/>
    <n v="0"/>
    <n v="1456"/>
    <n v="13"/>
    <x v="4"/>
    <n v="1"/>
    <n v="2"/>
    <n v="96"/>
    <n v="2"/>
    <n v="2"/>
    <n v="1"/>
    <n v="6134"/>
    <n v="8658"/>
    <n v="5"/>
    <n v="13"/>
    <n v="3"/>
    <n v="2"/>
    <n v="80"/>
    <n v="3"/>
    <n v="16"/>
    <n v="3"/>
    <n v="2"/>
    <n v="2"/>
    <n v="2"/>
    <n v="2"/>
  </r>
  <r>
    <s v="Yes"/>
    <s v="Travel_Rarely"/>
    <x v="1"/>
    <s v="Ex-Employees"/>
    <x v="0"/>
    <x v="0"/>
    <x v="1456"/>
    <x v="1456"/>
    <x v="1"/>
    <x v="0"/>
    <x v="0"/>
    <s v="Yes"/>
    <s v="Y"/>
    <n v="2"/>
    <n v="-2"/>
    <n v="0"/>
    <n v="53"/>
    <n v="1"/>
    <n v="1"/>
    <n v="1"/>
    <n v="0"/>
    <n v="1168"/>
    <n v="24"/>
    <x v="2"/>
    <n v="1"/>
    <n v="1"/>
    <n v="66"/>
    <n v="3"/>
    <n v="3"/>
    <n v="1"/>
    <n v="10448"/>
    <n v="5843"/>
    <n v="6"/>
    <n v="13"/>
    <n v="3"/>
    <n v="2"/>
    <n v="80"/>
    <n v="0"/>
    <n v="15"/>
    <n v="2"/>
    <n v="2"/>
    <n v="2"/>
    <n v="2"/>
    <n v="2"/>
  </r>
  <r>
    <s v="Yes"/>
    <s v="Travel_Rarely"/>
    <x v="2"/>
    <s v="Ex-Employees"/>
    <x v="0"/>
    <x v="3"/>
    <x v="1457"/>
    <x v="1457"/>
    <x v="1"/>
    <x v="0"/>
    <x v="0"/>
    <s v="Yes"/>
    <s v="Y"/>
    <n v="3"/>
    <n v="-2"/>
    <n v="0"/>
    <n v="32"/>
    <n v="1"/>
    <n v="1"/>
    <n v="1"/>
    <n v="0"/>
    <n v="414"/>
    <n v="2"/>
    <x v="2"/>
    <n v="1"/>
    <n v="3"/>
    <n v="82"/>
    <n v="2"/>
    <n v="2"/>
    <n v="2"/>
    <n v="9907"/>
    <n v="26186"/>
    <n v="7"/>
    <n v="12"/>
    <n v="3"/>
    <n v="3"/>
    <n v="80"/>
    <n v="0"/>
    <n v="7"/>
    <n v="2"/>
    <n v="2"/>
    <n v="2"/>
    <n v="2"/>
    <n v="2"/>
  </r>
  <r>
    <s v="Yes"/>
    <s v="Travel_Rarely"/>
    <x v="0"/>
    <s v="Ex-Employees"/>
    <x v="0"/>
    <x v="0"/>
    <x v="1458"/>
    <x v="1458"/>
    <x v="1"/>
    <x v="0"/>
    <x v="0"/>
    <s v="Yes"/>
    <s v="Y"/>
    <n v="2"/>
    <n v="-2"/>
    <n v="0"/>
    <n v="35"/>
    <n v="1"/>
    <n v="1"/>
    <n v="1"/>
    <n v="0"/>
    <n v="303"/>
    <n v="27"/>
    <x v="3"/>
    <n v="1"/>
    <n v="3"/>
    <n v="84"/>
    <n v="3"/>
    <n v="2"/>
    <n v="4"/>
    <n v="5813"/>
    <n v="13492"/>
    <n v="1"/>
    <n v="18"/>
    <n v="3"/>
    <n v="4"/>
    <n v="80"/>
    <n v="0"/>
    <n v="10"/>
    <n v="3"/>
    <n v="10"/>
    <n v="7"/>
    <n v="7"/>
    <n v="7"/>
  </r>
  <r>
    <s v="Yes"/>
    <s v="Travel_Rarely"/>
    <x v="1"/>
    <s v="Ex-Employees"/>
    <x v="1"/>
    <x v="2"/>
    <x v="1459"/>
    <x v="1459"/>
    <x v="0"/>
    <x v="4"/>
    <x v="1"/>
    <s v="No"/>
    <s v="Y"/>
    <n v="2"/>
    <n v="-2"/>
    <n v="0"/>
    <n v="46"/>
    <n v="1"/>
    <n v="1"/>
    <n v="1"/>
    <n v="0"/>
    <n v="261"/>
    <n v="21"/>
    <x v="0"/>
    <n v="1"/>
    <n v="4"/>
    <n v="66"/>
    <n v="3"/>
    <n v="2"/>
    <n v="2"/>
    <n v="8926"/>
    <n v="10842"/>
    <n v="4"/>
    <n v="22"/>
    <n v="4"/>
    <n v="4"/>
    <n v="80"/>
    <n v="1"/>
    <n v="13"/>
    <n v="4"/>
    <n v="9"/>
    <n v="7"/>
    <n v="3"/>
    <n v="7"/>
  </r>
  <r>
    <s v="Yes"/>
    <s v="Travel_Rarely"/>
    <x v="1"/>
    <s v="Ex-Employees"/>
    <x v="0"/>
    <x v="0"/>
    <x v="1460"/>
    <x v="1460"/>
    <x v="0"/>
    <x v="0"/>
    <x v="1"/>
    <s v="No"/>
    <s v="Y"/>
    <n v="2"/>
    <n v="-2"/>
    <n v="0"/>
    <n v="46"/>
    <n v="1"/>
    <n v="1"/>
    <n v="1"/>
    <n v="0"/>
    <n v="1254"/>
    <n v="10"/>
    <x v="3"/>
    <n v="1"/>
    <n v="3"/>
    <n v="64"/>
    <n v="3"/>
    <n v="3"/>
    <n v="2"/>
    <n v="7314"/>
    <n v="14011"/>
    <n v="5"/>
    <n v="21"/>
    <n v="4"/>
    <n v="3"/>
    <n v="80"/>
    <n v="3"/>
    <n v="14"/>
    <n v="3"/>
    <n v="8"/>
    <n v="7"/>
    <n v="0"/>
    <n v="7"/>
  </r>
  <r>
    <s v="Yes"/>
    <s v="Travel_Frequently"/>
    <x v="1"/>
    <s v="Ex-Employees"/>
    <x v="1"/>
    <x v="0"/>
    <x v="1461"/>
    <x v="1461"/>
    <x v="1"/>
    <x v="2"/>
    <x v="0"/>
    <s v="No"/>
    <s v="Y"/>
    <n v="2"/>
    <n v="-2"/>
    <n v="0"/>
    <n v="49"/>
    <n v="1"/>
    <n v="1"/>
    <n v="1"/>
    <n v="0"/>
    <n v="1475"/>
    <n v="28"/>
    <x v="0"/>
    <n v="1"/>
    <n v="1"/>
    <n v="97"/>
    <n v="2"/>
    <n v="2"/>
    <n v="1"/>
    <n v="4284"/>
    <n v="22710"/>
    <n v="3"/>
    <n v="20"/>
    <n v="4"/>
    <n v="1"/>
    <n v="80"/>
    <n v="0"/>
    <n v="20"/>
    <n v="3"/>
    <n v="4"/>
    <n v="3"/>
    <n v="1"/>
    <n v="3"/>
  </r>
  <r>
    <s v="Yes"/>
    <s v="Non-Travel"/>
    <x v="0"/>
    <s v="Ex-Employees"/>
    <x v="1"/>
    <x v="0"/>
    <x v="1462"/>
    <x v="1462"/>
    <x v="0"/>
    <x v="2"/>
    <x v="0"/>
    <s v="Yes"/>
    <s v="Y"/>
    <n v="2"/>
    <n v="-2"/>
    <n v="0"/>
    <n v="39"/>
    <n v="1"/>
    <n v="1"/>
    <n v="1"/>
    <n v="0"/>
    <n v="592"/>
    <n v="2"/>
    <x v="3"/>
    <n v="1"/>
    <n v="1"/>
    <n v="54"/>
    <n v="2"/>
    <n v="1"/>
    <n v="1"/>
    <n v="3646"/>
    <n v="17181"/>
    <n v="2"/>
    <n v="23"/>
    <n v="4"/>
    <n v="2"/>
    <n v="80"/>
    <n v="0"/>
    <n v="11"/>
    <n v="4"/>
    <n v="1"/>
    <n v="0"/>
    <n v="0"/>
    <n v="0"/>
  </r>
  <r>
    <s v="Yes"/>
    <s v="Travel_Rarely"/>
    <x v="2"/>
    <s v="Ex-Employees"/>
    <x v="0"/>
    <x v="2"/>
    <x v="1463"/>
    <x v="1463"/>
    <x v="0"/>
    <x v="0"/>
    <x v="0"/>
    <s v="Yes"/>
    <s v="Y"/>
    <n v="2"/>
    <n v="-2"/>
    <n v="0"/>
    <n v="34"/>
    <n v="1"/>
    <n v="1"/>
    <n v="1"/>
    <n v="0"/>
    <n v="790"/>
    <n v="24"/>
    <x v="2"/>
    <n v="1"/>
    <n v="1"/>
    <n v="40"/>
    <n v="2"/>
    <n v="2"/>
    <n v="2"/>
    <n v="4599"/>
    <n v="7815"/>
    <n v="0"/>
    <n v="23"/>
    <n v="4"/>
    <n v="3"/>
    <n v="80"/>
    <n v="0"/>
    <n v="16"/>
    <n v="4"/>
    <n v="15"/>
    <n v="9"/>
    <n v="10"/>
    <n v="10"/>
  </r>
  <r>
    <s v="Yes"/>
    <s v="Travel_Rarely"/>
    <x v="2"/>
    <s v="Ex-Employees"/>
    <x v="0"/>
    <x v="0"/>
    <x v="1464"/>
    <x v="1464"/>
    <x v="0"/>
    <x v="0"/>
    <x v="0"/>
    <s v="Yes"/>
    <s v="Y"/>
    <n v="2"/>
    <n v="-2"/>
    <n v="0"/>
    <n v="33"/>
    <n v="1"/>
    <n v="1"/>
    <n v="1"/>
    <n v="0"/>
    <n v="211"/>
    <n v="16"/>
    <x v="3"/>
    <n v="1"/>
    <n v="1"/>
    <n v="74"/>
    <n v="3"/>
    <n v="3"/>
    <n v="1"/>
    <n v="8564"/>
    <n v="10092"/>
    <n v="2"/>
    <n v="20"/>
    <n v="4"/>
    <n v="3"/>
    <n v="80"/>
    <n v="0"/>
    <n v="11"/>
    <n v="2"/>
    <n v="0"/>
    <n v="0"/>
    <n v="0"/>
    <n v="0"/>
  </r>
  <r>
    <s v="Yes"/>
    <s v="Non-Travel"/>
    <x v="2"/>
    <s v="Ex-Employees"/>
    <x v="1"/>
    <x v="4"/>
    <x v="1465"/>
    <x v="1465"/>
    <x v="1"/>
    <x v="1"/>
    <x v="1"/>
    <s v="Yes"/>
    <s v="Y"/>
    <n v="2"/>
    <n v="-2"/>
    <n v="0"/>
    <n v="34"/>
    <n v="1"/>
    <n v="1"/>
    <n v="1"/>
    <n v="0"/>
    <n v="967"/>
    <n v="16"/>
    <x v="2"/>
    <n v="1"/>
    <n v="4"/>
    <n v="85"/>
    <n v="1"/>
    <n v="1"/>
    <n v="1"/>
    <n v="2307"/>
    <n v="14460"/>
    <n v="1"/>
    <n v="23"/>
    <n v="4"/>
    <n v="2"/>
    <n v="80"/>
    <n v="1"/>
    <n v="5"/>
    <n v="3"/>
    <n v="5"/>
    <n v="2"/>
    <n v="3"/>
    <n v="0"/>
  </r>
  <r>
    <s v="Yes"/>
    <s v="Travel_Frequently"/>
    <x v="2"/>
    <s v="Ex-Employees"/>
    <x v="1"/>
    <x v="0"/>
    <x v="1466"/>
    <x v="1466"/>
    <x v="1"/>
    <x v="1"/>
    <x v="0"/>
    <s v="Yes"/>
    <s v="Y"/>
    <n v="3"/>
    <n v="-2"/>
    <n v="0"/>
    <n v="29"/>
    <n v="1"/>
    <n v="1"/>
    <n v="1"/>
    <n v="0"/>
    <n v="459"/>
    <n v="24"/>
    <x v="0"/>
    <n v="1"/>
    <n v="4"/>
    <n v="73"/>
    <n v="2"/>
    <n v="1"/>
    <n v="4"/>
    <n v="2439"/>
    <n v="14753"/>
    <n v="1"/>
    <n v="24"/>
    <n v="4"/>
    <n v="2"/>
    <n v="80"/>
    <n v="0"/>
    <n v="1"/>
    <n v="2"/>
    <n v="1"/>
    <n v="0"/>
    <n v="1"/>
    <n v="0"/>
  </r>
  <r>
    <s v="Yes"/>
    <s v="Travel_Frequently"/>
    <x v="0"/>
    <s v="Ex-Employees"/>
    <x v="0"/>
    <x v="1"/>
    <x v="1467"/>
    <x v="1467"/>
    <x v="1"/>
    <x v="0"/>
    <x v="0"/>
    <s v="Yes"/>
    <s v="Y"/>
    <n v="2"/>
    <n v="-2"/>
    <n v="0"/>
    <n v="35"/>
    <n v="1"/>
    <n v="1"/>
    <n v="1"/>
    <n v="0"/>
    <n v="880"/>
    <n v="12"/>
    <x v="2"/>
    <n v="1"/>
    <n v="4"/>
    <n v="36"/>
    <n v="3"/>
    <n v="2"/>
    <n v="4"/>
    <n v="4581"/>
    <n v="10414"/>
    <n v="3"/>
    <n v="24"/>
    <n v="4"/>
    <n v="1"/>
    <n v="80"/>
    <n v="0"/>
    <n v="13"/>
    <n v="4"/>
    <n v="11"/>
    <n v="9"/>
    <n v="6"/>
    <n v="7"/>
  </r>
  <r>
    <s v="Yes"/>
    <s v="Travel_Rarely"/>
    <x v="4"/>
    <s v="Ex-Employees"/>
    <x v="1"/>
    <x v="0"/>
    <x v="1468"/>
    <x v="1468"/>
    <x v="1"/>
    <x v="1"/>
    <x v="0"/>
    <s v="Yes"/>
    <s v="Y"/>
    <n v="2"/>
    <n v="-2"/>
    <n v="0"/>
    <n v="22"/>
    <n v="1"/>
    <n v="1"/>
    <n v="1"/>
    <n v="0"/>
    <n v="391"/>
    <n v="7"/>
    <x v="1"/>
    <n v="1"/>
    <n v="4"/>
    <n v="75"/>
    <n v="3"/>
    <n v="1"/>
    <n v="2"/>
    <n v="2472"/>
    <n v="26092"/>
    <n v="1"/>
    <n v="23"/>
    <n v="4"/>
    <n v="1"/>
    <n v="80"/>
    <n v="0"/>
    <n v="1"/>
    <n v="3"/>
    <n v="1"/>
    <n v="0"/>
    <n v="0"/>
    <n v="0"/>
  </r>
  <r>
    <s v="Yes"/>
    <s v="Travel_Rarely"/>
    <x v="4"/>
    <s v="Ex-Employees"/>
    <x v="0"/>
    <x v="0"/>
    <x v="1469"/>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3316A0-487D-440C-A66F-1018B879F3AF}" name="KPI"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A1086A-405A-4848-A39C-083E7A83B56A}" name="Rating"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5F394F-CCAF-449F-B5CA-4A88D8BED1A3}"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CF46F2-8572-4F7C-A35C-4A7E2C81ECF2}" name="Education By Attriti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425D73-E91F-4A7A-99A6-89ECED468D3A}" name="Attrition by Job"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28DE16-C294-4DCD-8C97-5221DD54F0E9}" name="Department Wise Attriti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C1397A-677D-4E06-B0CE-BB387909458C}" name="Attrition by Age Group"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5C672F-F2F3-45BF-99D9-D7E795B89642}" name="Attrition by Marital Statu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7DF979DB-67DC-4618-B007-70BCC56A2801}" sourceName="Gender">
  <pivotTables>
    <pivotTable tabId="9" name="PivotTable1"/>
    <pivotTable tabId="13" name="Attrition by Age Group"/>
    <pivotTable tabId="11" name="Attrition by Job"/>
    <pivotTable tabId="14" name="Attrition by Marital Status"/>
    <pivotTable tabId="12" name="Department Wise Attrition"/>
    <pivotTable tabId="10" name="Education By Attrition"/>
    <pivotTable tabId="7" name="KPI"/>
    <pivotTable tabId="8" name="Rating"/>
  </pivotTables>
  <data>
    <tabular pivotCacheId="2221158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F88F990-FD98-43D1-BEB9-29E9D3143EE5}" sourceName="Department">
  <pivotTables>
    <pivotTable tabId="13" name="Attrition by Age Group"/>
    <pivotTable tabId="11" name="Attrition by Job"/>
    <pivotTable tabId="14" name="Attrition by Marital Status"/>
    <pivotTable tabId="12" name="Department Wise Attrition"/>
    <pivotTable tabId="10" name="Education By Attrition"/>
    <pivotTable tabId="9" name="PivotTable1"/>
    <pivotTable tabId="7" name="KPI"/>
    <pivotTable tabId="8" name="Rating"/>
  </pivotTables>
  <data>
    <tabular pivotCacheId="22211585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1F3CAB82-D8EF-4E5C-B694-AF72136F7B7B}" sourceName="Education Field">
  <pivotTables>
    <pivotTable tabId="13" name="Attrition by Age Group"/>
    <pivotTable tabId="11" name="Attrition by Job"/>
    <pivotTable tabId="14" name="Attrition by Marital Status"/>
    <pivotTable tabId="12" name="Department Wise Attrition"/>
    <pivotTable tabId="10" name="Education By Attrition"/>
    <pivotTable tabId="9" name="PivotTable1"/>
    <pivotTable tabId="7" name="KPI"/>
    <pivotTable tabId="8" name="Rating"/>
  </pivotTables>
  <data>
    <tabular pivotCacheId="222115859">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C242CAE-D7D0-48F0-81F8-F8C8A097A997}"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2CC49EF-0B78-435E-9812-18240FEE97DB}" cache="Slicer_Gender2" caption="Gender" rowHeight="260350"/>
  <slicer name="Education Field" xr10:uid="{0A7E5A77-EF47-4E63-85D2-857DF5C01E36}"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8836FB1-FE85-44EF-A822-304ED988C4C2}" cache="Slicer_Gender2" caption="Gender" rowHeight="260350"/>
  <slicer name="Education Field 1" xr10:uid="{A5E309CE-758F-46F0-B424-BC44C03B9AA6}"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1C47B6E-4513-4647-ADF2-5E398B8CF570}" cache="Slicer_Department" caption="Department" rowHeight="260350"/>
  <slicer name="Education Field 2" xr10:uid="{FF81B9AD-1DC7-4C95-89D7-90F6858DA0FB}"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66E5FCA1-DBF4-4256-8295-0CCDA32E45E5}" cache="Slicer_Gender2" caption="Gender" columnCount="2" rowHeight="260350"/>
  <slicer name="Department 1" xr10:uid="{5C228289-B8F5-4C6D-B0F1-48A61FD3A28D}" cache="Slicer_Department" style="Slicer " rowHeight="260350"/>
  <slicer name="Education Field 3" xr10:uid="{3D96193C-5D2C-4422-AA08-9F30A841F867}" cache="Slicer_Education_Field2" startItem="1" style="Slicer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A1AA1-0FCE-4D86-95F2-B5515542C25A}">
  <dimension ref="A3:E7"/>
  <sheetViews>
    <sheetView workbookViewId="0">
      <selection activeCell="B6" sqref="B6"/>
    </sheetView>
  </sheetViews>
  <sheetFormatPr defaultRowHeight="15.6" x14ac:dyDescent="0.3"/>
  <cols>
    <col min="1" max="1" width="24.5" bestFit="1" customWidth="1"/>
    <col min="2" max="2" width="22.796875" bestFit="1" customWidth="1"/>
    <col min="3" max="3" width="13.5" bestFit="1" customWidth="1"/>
    <col min="4" max="4" width="16.09765625" bestFit="1" customWidth="1"/>
    <col min="5" max="5" width="12.3984375" bestFit="1" customWidth="1"/>
  </cols>
  <sheetData>
    <row r="3" spans="1:5" x14ac:dyDescent="0.3">
      <c r="A3" s="3" t="s">
        <v>1554</v>
      </c>
      <c r="B3" s="6" t="s">
        <v>1555</v>
      </c>
      <c r="C3" s="5" t="s">
        <v>1556</v>
      </c>
    </row>
    <row r="4" spans="1:5" x14ac:dyDescent="0.3">
      <c r="A4" s="24">
        <v>1470</v>
      </c>
      <c r="B4" s="25">
        <v>237</v>
      </c>
      <c r="C4" s="26">
        <v>36.923809523809524</v>
      </c>
    </row>
    <row r="6" spans="1:5" x14ac:dyDescent="0.3">
      <c r="A6" t="s">
        <v>1557</v>
      </c>
      <c r="B6" t="s">
        <v>1558</v>
      </c>
      <c r="C6" t="s">
        <v>1559</v>
      </c>
      <c r="D6" t="s">
        <v>1560</v>
      </c>
      <c r="E6" t="s">
        <v>1561</v>
      </c>
    </row>
    <row r="7" spans="1:5" x14ac:dyDescent="0.3">
      <c r="A7">
        <f>GETPIVOTDATA("Count of Employee Number",$A$3)</f>
        <v>1470</v>
      </c>
      <c r="B7">
        <f>GETPIVOTDATA("Sum of CF_attrition count",$A$3)</f>
        <v>237</v>
      </c>
      <c r="C7" s="9">
        <f>GETPIVOTDATA("Average of Age",$A$3)</f>
        <v>36.923809523809524</v>
      </c>
      <c r="D7">
        <f>A7-B7</f>
        <v>1233</v>
      </c>
      <c r="E7" s="7">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9C121-FF5E-47BA-B8BE-1B619602CDD4}">
  <dimension ref="A3:C7"/>
  <sheetViews>
    <sheetView workbookViewId="0">
      <selection activeCell="I20" sqref="I20"/>
    </sheetView>
  </sheetViews>
  <sheetFormatPr defaultRowHeight="15.6" x14ac:dyDescent="0.3"/>
  <cols>
    <col min="1" max="1" width="23.59765625" bestFit="1" customWidth="1"/>
  </cols>
  <sheetData>
    <row r="3" spans="1:3" x14ac:dyDescent="0.3">
      <c r="A3" s="4" t="s">
        <v>1563</v>
      </c>
    </row>
    <row r="4" spans="1:3" x14ac:dyDescent="0.3">
      <c r="A4" s="11">
        <v>2.6265306122448981</v>
      </c>
    </row>
    <row r="6" spans="1:3" x14ac:dyDescent="0.3">
      <c r="A6" t="s">
        <v>1564</v>
      </c>
      <c r="B6" s="8">
        <f>GETPIVOTDATA("Job Satisfaction",$A$3)</f>
        <v>2.6265306122448981</v>
      </c>
      <c r="C6">
        <f>B6/4</f>
        <v>0.65663265306122454</v>
      </c>
    </row>
    <row r="7" spans="1:3" x14ac:dyDescent="0.3">
      <c r="A7" t="s">
        <v>1565</v>
      </c>
      <c r="B7" s="8">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A5BC1-CF80-4FFE-AC44-4216B652082A}">
  <dimension ref="A3:C9"/>
  <sheetViews>
    <sheetView workbookViewId="0">
      <selection activeCell="E15" sqref="E15"/>
    </sheetView>
  </sheetViews>
  <sheetFormatPr defaultRowHeight="15.6" x14ac:dyDescent="0.3"/>
  <cols>
    <col min="1" max="1" width="12.19921875" bestFit="1" customWidth="1"/>
    <col min="2" max="2" width="22.796875" bestFit="1" customWidth="1"/>
  </cols>
  <sheetData>
    <row r="3" spans="1:3" x14ac:dyDescent="0.3">
      <c r="A3" s="12" t="s">
        <v>1566</v>
      </c>
      <c r="B3" s="4" t="s">
        <v>1568</v>
      </c>
    </row>
    <row r="4" spans="1:3" x14ac:dyDescent="0.3">
      <c r="A4" s="13" t="s">
        <v>51</v>
      </c>
      <c r="B4" s="14">
        <v>588</v>
      </c>
    </row>
    <row r="5" spans="1:3" x14ac:dyDescent="0.3">
      <c r="A5" s="15" t="s">
        <v>62</v>
      </c>
      <c r="B5" s="16">
        <v>882</v>
      </c>
    </row>
    <row r="6" spans="1:3" x14ac:dyDescent="0.3">
      <c r="A6" s="17" t="s">
        <v>1567</v>
      </c>
      <c r="B6" s="18">
        <v>1470</v>
      </c>
    </row>
    <row r="8" spans="1:3" x14ac:dyDescent="0.3">
      <c r="A8" s="19" t="s">
        <v>51</v>
      </c>
      <c r="B8">
        <f>IFERROR(GETPIVOTDATA("Employee Count",$A$3,"Gender","Female"),0)</f>
        <v>588</v>
      </c>
      <c r="C8" s="20">
        <f>IFERROR(B8/($B$8+$B$9),0)</f>
        <v>0.4</v>
      </c>
    </row>
    <row r="9" spans="1:3" x14ac:dyDescent="0.3">
      <c r="A9" s="19" t="s">
        <v>62</v>
      </c>
      <c r="B9">
        <f>IFERROR(GETPIVOTDATA("Employee Count",$A$3,"Gender","Male"),0)</f>
        <v>882</v>
      </c>
      <c r="C9" s="20">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886B-814B-4D38-AC02-3C4C665A0ED3}">
  <dimension ref="A3:B9"/>
  <sheetViews>
    <sheetView workbookViewId="0">
      <selection activeCell="I22" sqref="I22"/>
    </sheetView>
  </sheetViews>
  <sheetFormatPr defaultRowHeight="15.6" x14ac:dyDescent="0.3"/>
  <cols>
    <col min="1" max="1" width="16" bestFit="1" customWidth="1"/>
    <col min="2" max="2" width="22.796875" bestFit="1" customWidth="1"/>
  </cols>
  <sheetData>
    <row r="3" spans="1:2" x14ac:dyDescent="0.3">
      <c r="A3" s="12" t="s">
        <v>1566</v>
      </c>
      <c r="B3" s="4" t="s">
        <v>1555</v>
      </c>
    </row>
    <row r="4" spans="1:2" x14ac:dyDescent="0.3">
      <c r="A4" s="13" t="s">
        <v>134</v>
      </c>
      <c r="B4" s="14">
        <v>5</v>
      </c>
    </row>
    <row r="5" spans="1:2" x14ac:dyDescent="0.3">
      <c r="A5" s="15" t="s">
        <v>65</v>
      </c>
      <c r="B5" s="16">
        <v>31</v>
      </c>
    </row>
    <row r="6" spans="1:2" x14ac:dyDescent="0.3">
      <c r="A6" s="15" t="s">
        <v>55</v>
      </c>
      <c r="B6" s="16">
        <v>44</v>
      </c>
    </row>
    <row r="7" spans="1:2" x14ac:dyDescent="0.3">
      <c r="A7" s="15" t="s">
        <v>71</v>
      </c>
      <c r="B7" s="16">
        <v>58</v>
      </c>
    </row>
    <row r="8" spans="1:2" x14ac:dyDescent="0.3">
      <c r="A8" s="15" t="s">
        <v>77</v>
      </c>
      <c r="B8" s="16">
        <v>99</v>
      </c>
    </row>
    <row r="9" spans="1:2" x14ac:dyDescent="0.3">
      <c r="A9" s="17" t="s">
        <v>1567</v>
      </c>
      <c r="B9" s="18">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1D353-8C2C-4D21-90FB-A80A867E7536}">
  <dimension ref="A3:E13"/>
  <sheetViews>
    <sheetView workbookViewId="0">
      <selection activeCell="K14" sqref="K14"/>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2" t="s">
        <v>1566</v>
      </c>
      <c r="B3" s="4" t="s">
        <v>1555</v>
      </c>
      <c r="D3" t="s">
        <v>1569</v>
      </c>
      <c r="E3" t="s">
        <v>0</v>
      </c>
    </row>
    <row r="4" spans="1:5" x14ac:dyDescent="0.3">
      <c r="A4" s="13" t="s">
        <v>83</v>
      </c>
      <c r="B4" s="14">
        <v>9</v>
      </c>
      <c r="D4" t="str">
        <f>A4</f>
        <v>Healthcare Representative</v>
      </c>
      <c r="E4">
        <f>GETPIVOTDATA("CF_attrition count",$A$3,"Job Role",A4)</f>
        <v>9</v>
      </c>
    </row>
    <row r="5" spans="1:5" x14ac:dyDescent="0.3">
      <c r="A5" s="15" t="s">
        <v>163</v>
      </c>
      <c r="B5" s="16">
        <v>12</v>
      </c>
      <c r="D5" t="str">
        <f t="shared" ref="D5:D12" si="0">A5</f>
        <v>Human Resources</v>
      </c>
      <c r="E5">
        <f t="shared" ref="E5:E12" si="1">GETPIVOTDATA("CF_attrition count",$A$3,"Job Role",A5)</f>
        <v>12</v>
      </c>
    </row>
    <row r="6" spans="1:5" x14ac:dyDescent="0.3">
      <c r="A6" s="15" t="s">
        <v>68</v>
      </c>
      <c r="B6" s="16">
        <v>62</v>
      </c>
      <c r="D6" t="str">
        <f t="shared" si="0"/>
        <v>Laboratory Technician</v>
      </c>
      <c r="E6">
        <f t="shared" si="1"/>
        <v>62</v>
      </c>
    </row>
    <row r="7" spans="1:5" x14ac:dyDescent="0.3">
      <c r="A7" s="15" t="s">
        <v>95</v>
      </c>
      <c r="B7" s="16">
        <v>5</v>
      </c>
      <c r="D7" t="str">
        <f t="shared" si="0"/>
        <v>Manager</v>
      </c>
      <c r="E7">
        <f t="shared" si="1"/>
        <v>5</v>
      </c>
    </row>
    <row r="8" spans="1:5" x14ac:dyDescent="0.3">
      <c r="A8" s="15" t="s">
        <v>81</v>
      </c>
      <c r="B8" s="16">
        <v>10</v>
      </c>
      <c r="D8" t="str">
        <f t="shared" si="0"/>
        <v>Manufacturing Director</v>
      </c>
      <c r="E8">
        <f t="shared" si="1"/>
        <v>10</v>
      </c>
    </row>
    <row r="9" spans="1:5" x14ac:dyDescent="0.3">
      <c r="A9" s="15" t="s">
        <v>101</v>
      </c>
      <c r="B9" s="16">
        <v>2</v>
      </c>
      <c r="D9" t="str">
        <f t="shared" si="0"/>
        <v>Research Director</v>
      </c>
      <c r="E9">
        <f t="shared" si="1"/>
        <v>2</v>
      </c>
    </row>
    <row r="10" spans="1:5" x14ac:dyDescent="0.3">
      <c r="A10" s="15" t="s">
        <v>63</v>
      </c>
      <c r="B10" s="16">
        <v>47</v>
      </c>
      <c r="D10" t="str">
        <f t="shared" si="0"/>
        <v>Research Scientist</v>
      </c>
      <c r="E10">
        <f t="shared" si="1"/>
        <v>47</v>
      </c>
    </row>
    <row r="11" spans="1:5" x14ac:dyDescent="0.3">
      <c r="A11" s="15" t="s">
        <v>52</v>
      </c>
      <c r="B11" s="16">
        <v>57</v>
      </c>
      <c r="D11" t="str">
        <f t="shared" si="0"/>
        <v>Sales Executive</v>
      </c>
      <c r="E11">
        <f t="shared" si="1"/>
        <v>57</v>
      </c>
    </row>
    <row r="12" spans="1:5" x14ac:dyDescent="0.3">
      <c r="A12" s="15" t="s">
        <v>99</v>
      </c>
      <c r="B12" s="16">
        <v>33</v>
      </c>
      <c r="D12" t="str">
        <f t="shared" si="0"/>
        <v>Sales Representative</v>
      </c>
      <c r="E12">
        <f t="shared" si="1"/>
        <v>33</v>
      </c>
    </row>
    <row r="13" spans="1:5" x14ac:dyDescent="0.3">
      <c r="A13" s="17" t="s">
        <v>1567</v>
      </c>
      <c r="B13" s="18">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3AAE0-43FA-45EE-B084-4E0A32D95D66}">
  <dimension ref="A3:B7"/>
  <sheetViews>
    <sheetView workbookViewId="0">
      <selection activeCell="B4" sqref="B4"/>
    </sheetView>
  </sheetViews>
  <sheetFormatPr defaultRowHeight="15.6" x14ac:dyDescent="0.3"/>
  <cols>
    <col min="1" max="1" width="12.19921875" bestFit="1" customWidth="1"/>
    <col min="2" max="2" width="22.796875" bestFit="1" customWidth="1"/>
  </cols>
  <sheetData>
    <row r="3" spans="1:2" x14ac:dyDescent="0.3">
      <c r="A3" s="12" t="s">
        <v>1566</v>
      </c>
      <c r="B3" s="4" t="s">
        <v>1555</v>
      </c>
    </row>
    <row r="4" spans="1:2" x14ac:dyDescent="0.3">
      <c r="A4" s="13" t="s">
        <v>161</v>
      </c>
      <c r="B4" s="21">
        <v>5.0632911392405063E-2</v>
      </c>
    </row>
    <row r="5" spans="1:2" x14ac:dyDescent="0.3">
      <c r="A5" s="15" t="s">
        <v>60</v>
      </c>
      <c r="B5" s="22">
        <v>0.56118143459915615</v>
      </c>
    </row>
    <row r="6" spans="1:2" x14ac:dyDescent="0.3">
      <c r="A6" s="15" t="s">
        <v>48</v>
      </c>
      <c r="B6" s="22">
        <v>0.3881856540084388</v>
      </c>
    </row>
    <row r="7" spans="1:2" x14ac:dyDescent="0.3">
      <c r="A7" s="17" t="s">
        <v>1567</v>
      </c>
      <c r="B7" s="23">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F8DD9-719C-4623-AEA1-7E075B6F7AD6}">
  <dimension ref="A3:B9"/>
  <sheetViews>
    <sheetView workbookViewId="0">
      <selection activeCell="B7" sqref="B7"/>
    </sheetView>
  </sheetViews>
  <sheetFormatPr defaultRowHeight="15.6" x14ac:dyDescent="0.3"/>
  <cols>
    <col min="1" max="1" width="12.19921875" bestFit="1" customWidth="1"/>
    <col min="2" max="2" width="22.796875" bestFit="1" customWidth="1"/>
  </cols>
  <sheetData>
    <row r="3" spans="1:2" x14ac:dyDescent="0.3">
      <c r="A3" s="12" t="s">
        <v>1566</v>
      </c>
      <c r="B3" s="4" t="s">
        <v>1555</v>
      </c>
    </row>
    <row r="4" spans="1:2" x14ac:dyDescent="0.3">
      <c r="A4" s="13" t="s">
        <v>69</v>
      </c>
      <c r="B4" s="14">
        <v>112</v>
      </c>
    </row>
    <row r="5" spans="1:2" x14ac:dyDescent="0.3">
      <c r="A5" s="15" t="s">
        <v>46</v>
      </c>
      <c r="B5" s="16">
        <v>51</v>
      </c>
    </row>
    <row r="6" spans="1:2" x14ac:dyDescent="0.3">
      <c r="A6" s="15" t="s">
        <v>92</v>
      </c>
      <c r="B6" s="16">
        <v>38</v>
      </c>
    </row>
    <row r="7" spans="1:2" x14ac:dyDescent="0.3">
      <c r="A7" s="15" t="s">
        <v>58</v>
      </c>
      <c r="B7" s="16">
        <v>25</v>
      </c>
    </row>
    <row r="8" spans="1:2" x14ac:dyDescent="0.3">
      <c r="A8" s="15" t="s">
        <v>75</v>
      </c>
      <c r="B8" s="16">
        <v>11</v>
      </c>
    </row>
    <row r="9" spans="1:2" x14ac:dyDescent="0.3">
      <c r="A9" s="17" t="s">
        <v>1567</v>
      </c>
      <c r="B9" s="18">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836F6-1131-4017-9D24-61D55D0887D6}">
  <dimension ref="A3:E7"/>
  <sheetViews>
    <sheetView workbookViewId="0">
      <selection activeCell="O7" sqref="O7"/>
    </sheetView>
  </sheetViews>
  <sheetFormatPr defaultRowHeight="15.6" x14ac:dyDescent="0.3"/>
  <cols>
    <col min="1" max="1" width="12.19921875" bestFit="1" customWidth="1"/>
    <col min="2" max="2" width="16" bestFit="1" customWidth="1"/>
    <col min="4" max="4" width="23.19921875" bestFit="1" customWidth="1"/>
  </cols>
  <sheetData>
    <row r="3" spans="1:5" x14ac:dyDescent="0.3">
      <c r="A3" s="12" t="s">
        <v>1566</v>
      </c>
      <c r="B3" s="4" t="s">
        <v>1570</v>
      </c>
      <c r="D3" t="s">
        <v>10</v>
      </c>
      <c r="E3" t="s">
        <v>0</v>
      </c>
    </row>
    <row r="4" spans="1:5" x14ac:dyDescent="0.3">
      <c r="A4" s="13" t="s">
        <v>79</v>
      </c>
      <c r="B4" s="14">
        <v>327</v>
      </c>
      <c r="D4" t="str">
        <f>A4</f>
        <v>Divorced</v>
      </c>
      <c r="E4">
        <f>GETPIVOTDATA("Attrition",$A$3,"Marital Status",A4)</f>
        <v>327</v>
      </c>
    </row>
    <row r="5" spans="1:5" x14ac:dyDescent="0.3">
      <c r="A5" s="15" t="s">
        <v>53</v>
      </c>
      <c r="B5" s="16">
        <v>470</v>
      </c>
      <c r="D5" t="str">
        <f>A5</f>
        <v>Single</v>
      </c>
      <c r="E5">
        <f>GETPIVOTDATA("Attrition",$A$3,"Marital Status",A5)</f>
        <v>470</v>
      </c>
    </row>
    <row r="6" spans="1:5" x14ac:dyDescent="0.3">
      <c r="A6" s="15" t="s">
        <v>64</v>
      </c>
      <c r="B6" s="16">
        <v>673</v>
      </c>
      <c r="D6" t="str">
        <f>A6</f>
        <v>Married</v>
      </c>
      <c r="E6">
        <f>GETPIVOTDATA("Attrition",$A$3,"Marital Status",A6)</f>
        <v>673</v>
      </c>
    </row>
    <row r="7" spans="1:5" x14ac:dyDescent="0.3">
      <c r="A7" s="17" t="s">
        <v>1567</v>
      </c>
      <c r="B7" s="18">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B7" sqref="B7"/>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2"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C1:AC21"/>
  <sheetViews>
    <sheetView showGridLines="0" tabSelected="1" zoomScale="58" workbookViewId="0">
      <selection activeCell="Z13" sqref="Z13"/>
    </sheetView>
  </sheetViews>
  <sheetFormatPr defaultColWidth="11.19921875" defaultRowHeight="15" customHeight="1" x14ac:dyDescent="0.3"/>
  <cols>
    <col min="1" max="26" width="8.59765625" style="10" customWidth="1"/>
    <col min="27" max="16384" width="11.19921875" style="10"/>
  </cols>
  <sheetData>
    <row r="1" ht="15.6" x14ac:dyDescent="0.3"/>
    <row r="2" ht="15.6" x14ac:dyDescent="0.3"/>
    <row r="3" ht="15.6" x14ac:dyDescent="0.3"/>
    <row r="4" ht="15.6" x14ac:dyDescent="0.3"/>
    <row r="5" ht="15.6" x14ac:dyDescent="0.3"/>
    <row r="6" ht="15.6" x14ac:dyDescent="0.3"/>
    <row r="7" ht="15.6" x14ac:dyDescent="0.3"/>
    <row r="8" ht="15.6" x14ac:dyDescent="0.3"/>
    <row r="9" ht="15.6" x14ac:dyDescent="0.3"/>
    <row r="10" ht="15.6" x14ac:dyDescent="0.3"/>
    <row r="11" ht="15.6" x14ac:dyDescent="0.3"/>
    <row r="12" ht="15.6" x14ac:dyDescent="0.3"/>
    <row r="13" ht="15.6" x14ac:dyDescent="0.3"/>
    <row r="14" ht="15.6" x14ac:dyDescent="0.3"/>
    <row r="15" ht="15.6" x14ac:dyDescent="0.3"/>
    <row r="16" ht="15.6" x14ac:dyDescent="0.3"/>
    <row r="17" spans="29:29" ht="15.6" x14ac:dyDescent="0.3"/>
    <row r="18" spans="29:29" ht="15.6" x14ac:dyDescent="0.3"/>
    <row r="19" spans="29:29" ht="15.6" x14ac:dyDescent="0.3"/>
    <row r="20" spans="29:29" ht="15.6" x14ac:dyDescent="0.3"/>
    <row r="21" spans="29:29" ht="15" customHeight="1" x14ac:dyDescent="0.3">
      <c r="AC21" s="10" t="s">
        <v>1562</v>
      </c>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vt:lpstr>
      <vt:lpstr>Rating</vt:lpstr>
      <vt:lpstr>Gender</vt:lpstr>
      <vt:lpstr>Education By Attrition</vt:lpstr>
      <vt:lpstr>Attrition by Job</vt:lpstr>
      <vt:lpstr>Department Wise Attrition</vt:lpstr>
      <vt:lpstr>Attrition by Age Group</vt:lpstr>
      <vt:lpstr>Attrition by Marital Status</vt:lpstr>
      <vt:lpstr>Data</vt:lpstr>
      <vt:lpstr>Images</vt:lpstr>
      <vt:lpstr>Background 1</vt:lpstr>
      <vt:lpstr>Background 2</vt:lpstr>
      <vt:lpstr>Dashboard</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rameez nazar</cp:lastModifiedBy>
  <dcterms:created xsi:type="dcterms:W3CDTF">2022-12-29T16:02:46Z</dcterms:created>
  <dcterms:modified xsi:type="dcterms:W3CDTF">2026-06-19T18:08:55Z</dcterms:modified>
</cp:coreProperties>
</file>